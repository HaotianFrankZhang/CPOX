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tianzhang/Desktop/Desktop/mapping/CPOX/CPOX_results/Finalize/SummarizeAllData/"/>
    </mc:Choice>
  </mc:AlternateContent>
  <xr:revisionPtr revIDLastSave="0" documentId="13_ncr:1_{9A4A3119-CB95-2741-A04D-9AA4258230D8}" xr6:coauthVersionLast="47" xr6:coauthVersionMax="47" xr10:uidLastSave="{00000000-0000-0000-0000-000000000000}"/>
  <bookViews>
    <workbookView xWindow="420" yWindow="940" windowWidth="24000" windowHeight="16940" activeTab="1" xr2:uid="{9AAAD8C9-4F12-654A-BE6F-6FA77FC845A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A21" i="1"/>
</calcChain>
</file>

<file path=xl/sharedStrings.xml><?xml version="1.0" encoding="utf-8"?>
<sst xmlns="http://schemas.openxmlformats.org/spreadsheetml/2006/main" count="825" uniqueCount="35">
  <si>
    <t>Residue</t>
  </si>
  <si>
    <t>Mutation</t>
  </si>
  <si>
    <t>Secondary Structure</t>
  </si>
  <si>
    <t>WT Percentage</t>
  </si>
  <si>
    <t>Mutation Percentage</t>
  </si>
  <si>
    <t>V135A</t>
  </si>
  <si>
    <t>T</t>
  </si>
  <si>
    <t>E</t>
  </si>
  <si>
    <t>B</t>
  </si>
  <si>
    <t>H</t>
  </si>
  <si>
    <t>G</t>
  </si>
  <si>
    <t>I</t>
  </si>
  <si>
    <t>C</t>
  </si>
  <si>
    <t>N272H</t>
  </si>
  <si>
    <t>Location</t>
  </si>
  <si>
    <t>Lid</t>
  </si>
  <si>
    <t>Functional loop</t>
  </si>
  <si>
    <t>G188Q</t>
  </si>
  <si>
    <t>Gate 3</t>
  </si>
  <si>
    <t>Near active site</t>
  </si>
  <si>
    <t>L155W</t>
  </si>
  <si>
    <t>Residue type</t>
  </si>
  <si>
    <t>L</t>
  </si>
  <si>
    <t>R</t>
  </si>
  <si>
    <t>M</t>
  </si>
  <si>
    <t>S</t>
  </si>
  <si>
    <t>Y</t>
  </si>
  <si>
    <t>K</t>
  </si>
  <si>
    <t>D</t>
  </si>
  <si>
    <t>Crystal Reside</t>
  </si>
  <si>
    <t>NA</t>
  </si>
  <si>
    <t>262, NA</t>
  </si>
  <si>
    <t>263, NA</t>
  </si>
  <si>
    <t>420, NA</t>
  </si>
  <si>
    <t>232,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</si>
</sst>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AE17-2B9A-4D46-A871-039BF5412BA5}">
  <dimension ref="A1:B21"/>
  <sheetViews>
    <sheetView workbookViewId="0">
      <selection activeCell="B22" sqref="B22"/>
    </sheetView>
  </sheetViews>
  <sheetFormatPr baseColWidth="10" defaultRowHeight="16" x14ac:dyDescent="0.2"/>
  <sheetData>
    <row r="1" spans="1:2" ht="17" thickBot="1" x14ac:dyDescent="0.25">
      <c r="A1" s="1">
        <v>4.0190999999999999</v>
      </c>
      <c r="B1" s="1">
        <v>4.0190999999999999</v>
      </c>
    </row>
    <row r="2" spans="1:2" ht="17" thickBot="1" x14ac:dyDescent="0.25">
      <c r="A2" s="2">
        <v>3.33</v>
      </c>
      <c r="B2" s="2">
        <v>3.33</v>
      </c>
    </row>
    <row r="3" spans="1:2" ht="17" thickBot="1" x14ac:dyDescent="0.25">
      <c r="A3" s="2">
        <v>3.6</v>
      </c>
      <c r="B3" s="2">
        <v>3.6</v>
      </c>
    </row>
    <row r="4" spans="1:2" ht="17" thickBot="1" x14ac:dyDescent="0.25">
      <c r="A4" s="2">
        <v>3.4342000000000001</v>
      </c>
      <c r="B4" s="2">
        <v>3.4342000000000001</v>
      </c>
    </row>
    <row r="5" spans="1:2" ht="17" thickBot="1" x14ac:dyDescent="0.25">
      <c r="A5" s="2">
        <v>3.1604000000000001</v>
      </c>
      <c r="B5" s="2">
        <v>3.1604000000000001</v>
      </c>
    </row>
    <row r="6" spans="1:2" ht="17" thickBot="1" x14ac:dyDescent="0.25">
      <c r="A6" s="2">
        <v>2.1987999999999999</v>
      </c>
      <c r="B6" s="2">
        <v>2.1987999999999999</v>
      </c>
    </row>
    <row r="7" spans="1:2" ht="17" thickBot="1" x14ac:dyDescent="0.25">
      <c r="A7" s="2">
        <v>2.3332999999999999</v>
      </c>
      <c r="B7" s="2">
        <v>2.3332999999999999</v>
      </c>
    </row>
    <row r="8" spans="1:2" ht="17" thickBot="1" x14ac:dyDescent="0.25">
      <c r="A8" s="2">
        <v>4.5140000000000002</v>
      </c>
      <c r="B8" s="2">
        <v>4.5140000000000002</v>
      </c>
    </row>
    <row r="9" spans="1:2" ht="17" thickBot="1" x14ac:dyDescent="0.25">
      <c r="A9" s="2">
        <v>19.356999999999999</v>
      </c>
      <c r="B9" s="2">
        <v>4.141</v>
      </c>
    </row>
    <row r="10" spans="1:2" ht="17" thickBot="1" x14ac:dyDescent="0.25">
      <c r="A10" s="2">
        <v>4.141</v>
      </c>
      <c r="B10" s="2">
        <v>3.2703000000000002</v>
      </c>
    </row>
    <row r="11" spans="1:2" ht="17" thickBot="1" x14ac:dyDescent="0.25">
      <c r="A11" s="2">
        <v>3.2703000000000002</v>
      </c>
      <c r="B11" s="2">
        <v>2.4106999999999998</v>
      </c>
    </row>
    <row r="12" spans="1:2" ht="17" thickBot="1" x14ac:dyDescent="0.25">
      <c r="A12" s="2">
        <v>2.4106999999999998</v>
      </c>
      <c r="B12" s="2">
        <v>3.7961</v>
      </c>
    </row>
    <row r="13" spans="1:2" ht="17" thickBot="1" x14ac:dyDescent="0.25">
      <c r="A13" s="2">
        <v>3.7961</v>
      </c>
      <c r="B13" s="2">
        <v>2.8681000000000001</v>
      </c>
    </row>
    <row r="14" spans="1:2" ht="17" thickBot="1" x14ac:dyDescent="0.25">
      <c r="A14" s="2">
        <v>2.8681000000000001</v>
      </c>
      <c r="B14" s="2">
        <v>2.2776999999999998</v>
      </c>
    </row>
    <row r="15" spans="1:2" ht="17" thickBot="1" x14ac:dyDescent="0.25">
      <c r="A15" s="2">
        <v>2.2776999999999998</v>
      </c>
      <c r="B15" s="2">
        <v>2.5583</v>
      </c>
    </row>
    <row r="16" spans="1:2" ht="17" thickBot="1" x14ac:dyDescent="0.25">
      <c r="A16" s="2">
        <v>2.5583</v>
      </c>
      <c r="B16" s="2">
        <v>4.4908999999999999</v>
      </c>
    </row>
    <row r="17" spans="1:2" ht="17" thickBot="1" x14ac:dyDescent="0.25">
      <c r="A17" s="2">
        <v>4.4908999999999999</v>
      </c>
      <c r="B17" s="2">
        <v>3.0684</v>
      </c>
    </row>
    <row r="18" spans="1:2" ht="17" thickBot="1" x14ac:dyDescent="0.25">
      <c r="A18" s="2">
        <v>3.0684</v>
      </c>
      <c r="B18" s="2">
        <v>2.8883999999999999</v>
      </c>
    </row>
    <row r="19" spans="1:2" ht="17" thickBot="1" x14ac:dyDescent="0.25">
      <c r="A19" s="2">
        <v>2.8883999999999999</v>
      </c>
      <c r="B19" s="2">
        <v>5.4005000000000001</v>
      </c>
    </row>
    <row r="20" spans="1:2" ht="17" thickBot="1" x14ac:dyDescent="0.25">
      <c r="A20" s="2">
        <v>5.4005000000000001</v>
      </c>
      <c r="B20">
        <f>AVERAGE(B1:B19)</f>
        <v>3.3557999999999999</v>
      </c>
    </row>
    <row r="21" spans="1:2" x14ac:dyDescent="0.2">
      <c r="A21">
        <f>AVERAGE(A1:A20)</f>
        <v>4.1558599999999988</v>
      </c>
      <c r="B21">
        <f>STDEV(B1:B19)</f>
        <v>0.875200692539846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DA2E-1A46-3D44-B911-16A72839D6C6}">
  <dimension ref="A1:M148"/>
  <sheetViews>
    <sheetView tabSelected="1" workbookViewId="0">
      <selection activeCell="A114" sqref="A114:XFD120"/>
    </sheetView>
  </sheetViews>
  <sheetFormatPr baseColWidth="10" defaultRowHeight="16" x14ac:dyDescent="0.2"/>
  <cols>
    <col min="3" max="3" width="16.33203125" bestFit="1" customWidth="1"/>
    <col min="4" max="4" width="12.33203125" bestFit="1" customWidth="1"/>
    <col min="5" max="5" width="16.6640625" bestFit="1" customWidth="1"/>
    <col min="6" max="6" width="13.6640625" bestFit="1" customWidth="1"/>
    <col min="8" max="8" width="14.1640625" customWidth="1"/>
    <col min="12" max="12" width="16.6640625" bestFit="1" customWidth="1"/>
  </cols>
  <sheetData>
    <row r="1" spans="1:13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</v>
      </c>
      <c r="G1" s="4" t="s">
        <v>21</v>
      </c>
      <c r="H1" s="4" t="s">
        <v>29</v>
      </c>
      <c r="I1" s="4" t="s">
        <v>1</v>
      </c>
      <c r="J1" s="4" t="s">
        <v>2</v>
      </c>
      <c r="K1" s="4" t="s">
        <v>3</v>
      </c>
      <c r="L1" s="4" t="s">
        <v>4</v>
      </c>
      <c r="M1" s="4"/>
    </row>
    <row r="2" spans="1:13" x14ac:dyDescent="0.2">
      <c r="A2" s="3">
        <v>128</v>
      </c>
      <c r="B2" s="4" t="s">
        <v>13</v>
      </c>
      <c r="C2" s="4" t="s">
        <v>6</v>
      </c>
      <c r="D2" s="4">
        <v>1.07</v>
      </c>
      <c r="E2" s="4">
        <v>0.09</v>
      </c>
      <c r="F2" t="s">
        <v>15</v>
      </c>
      <c r="G2" s="4" t="s">
        <v>22</v>
      </c>
      <c r="H2" s="3">
        <v>236</v>
      </c>
      <c r="I2" s="4" t="s">
        <v>13</v>
      </c>
      <c r="J2" s="4" t="s">
        <v>6</v>
      </c>
      <c r="K2" s="4">
        <v>0.68</v>
      </c>
      <c r="L2" s="4">
        <v>0.75</v>
      </c>
    </row>
    <row r="3" spans="1:13" x14ac:dyDescent="0.2">
      <c r="A3" s="3">
        <v>128</v>
      </c>
      <c r="B3" s="4" t="s">
        <v>13</v>
      </c>
      <c r="C3" s="4" t="s">
        <v>7</v>
      </c>
      <c r="D3" s="4">
        <v>31.34</v>
      </c>
      <c r="E3" s="4">
        <v>18.59</v>
      </c>
      <c r="F3" t="s">
        <v>15</v>
      </c>
      <c r="G3" s="4" t="s">
        <v>22</v>
      </c>
      <c r="H3" s="3">
        <v>236</v>
      </c>
      <c r="I3" s="4" t="s">
        <v>13</v>
      </c>
      <c r="J3" s="4" t="s">
        <v>7</v>
      </c>
      <c r="K3" s="4">
        <v>15.55</v>
      </c>
      <c r="L3" s="4">
        <v>17.86</v>
      </c>
    </row>
    <row r="4" spans="1:13" x14ac:dyDescent="0.2">
      <c r="A4" s="3">
        <v>128</v>
      </c>
      <c r="B4" s="4" t="s">
        <v>13</v>
      </c>
      <c r="C4" s="4" t="s">
        <v>8</v>
      </c>
      <c r="D4" s="4">
        <v>0.01</v>
      </c>
      <c r="E4" s="4">
        <v>0.01</v>
      </c>
      <c r="F4" t="s">
        <v>15</v>
      </c>
      <c r="G4" s="4" t="s">
        <v>22</v>
      </c>
      <c r="H4" s="3">
        <v>236</v>
      </c>
      <c r="I4" s="4" t="s">
        <v>13</v>
      </c>
      <c r="J4" s="4" t="s">
        <v>8</v>
      </c>
      <c r="K4" s="4">
        <v>0.02</v>
      </c>
      <c r="L4" s="4">
        <v>0.02</v>
      </c>
    </row>
    <row r="5" spans="1:13" x14ac:dyDescent="0.2">
      <c r="A5" s="3">
        <v>128</v>
      </c>
      <c r="B5" s="4" t="s">
        <v>13</v>
      </c>
      <c r="C5" s="4" t="s">
        <v>9</v>
      </c>
      <c r="D5" s="4">
        <v>0</v>
      </c>
      <c r="E5" s="4">
        <v>0</v>
      </c>
      <c r="F5" t="s">
        <v>15</v>
      </c>
      <c r="G5" s="4" t="s">
        <v>22</v>
      </c>
      <c r="H5" s="3">
        <v>236</v>
      </c>
      <c r="I5" s="4" t="s">
        <v>13</v>
      </c>
      <c r="J5" s="4" t="s">
        <v>9</v>
      </c>
      <c r="K5" s="4">
        <v>0</v>
      </c>
      <c r="L5" s="4">
        <v>0</v>
      </c>
    </row>
    <row r="6" spans="1:13" x14ac:dyDescent="0.2">
      <c r="A6" s="3">
        <v>128</v>
      </c>
      <c r="B6" s="4" t="s">
        <v>13</v>
      </c>
      <c r="C6" s="4" t="s">
        <v>10</v>
      </c>
      <c r="D6" s="4">
        <v>0</v>
      </c>
      <c r="E6" s="4">
        <v>0</v>
      </c>
      <c r="F6" t="s">
        <v>15</v>
      </c>
      <c r="G6" s="4" t="s">
        <v>22</v>
      </c>
      <c r="H6" s="3">
        <v>236</v>
      </c>
      <c r="I6" s="4" t="s">
        <v>13</v>
      </c>
      <c r="J6" s="4" t="s">
        <v>10</v>
      </c>
      <c r="K6" s="4">
        <v>0</v>
      </c>
      <c r="L6" s="4">
        <v>0</v>
      </c>
    </row>
    <row r="7" spans="1:13" x14ac:dyDescent="0.2">
      <c r="A7" s="3">
        <v>128</v>
      </c>
      <c r="B7" s="4" t="s">
        <v>13</v>
      </c>
      <c r="C7" s="4" t="s">
        <v>11</v>
      </c>
      <c r="D7" s="4">
        <v>0</v>
      </c>
      <c r="E7" s="4">
        <v>0</v>
      </c>
      <c r="F7" t="s">
        <v>15</v>
      </c>
      <c r="G7" s="4" t="s">
        <v>22</v>
      </c>
      <c r="H7" s="3">
        <v>236</v>
      </c>
      <c r="I7" s="4" t="s">
        <v>13</v>
      </c>
      <c r="J7" s="4" t="s">
        <v>11</v>
      </c>
      <c r="K7" s="4">
        <v>0</v>
      </c>
      <c r="L7" s="4">
        <v>0</v>
      </c>
    </row>
    <row r="8" spans="1:13" x14ac:dyDescent="0.2">
      <c r="A8" s="3">
        <v>128</v>
      </c>
      <c r="B8" s="4" t="s">
        <v>13</v>
      </c>
      <c r="C8" s="4" t="s">
        <v>12</v>
      </c>
      <c r="D8" s="4">
        <v>67.58</v>
      </c>
      <c r="E8" s="4">
        <v>81.31</v>
      </c>
      <c r="F8" t="s">
        <v>15</v>
      </c>
      <c r="G8" s="4" t="s">
        <v>22</v>
      </c>
      <c r="H8" s="3">
        <v>236</v>
      </c>
      <c r="I8" s="4" t="s">
        <v>13</v>
      </c>
      <c r="J8" s="4" t="s">
        <v>12</v>
      </c>
      <c r="K8" s="4">
        <v>83.75</v>
      </c>
      <c r="L8" s="4">
        <v>81.38</v>
      </c>
    </row>
    <row r="9" spans="1:13" x14ac:dyDescent="0.2">
      <c r="A9" s="3">
        <v>305</v>
      </c>
      <c r="B9" s="4" t="s">
        <v>13</v>
      </c>
      <c r="C9" s="4" t="s">
        <v>6</v>
      </c>
      <c r="D9" s="4">
        <v>6.53</v>
      </c>
      <c r="E9" s="4">
        <v>1.62</v>
      </c>
      <c r="F9" t="s">
        <v>16</v>
      </c>
      <c r="G9" s="4" t="s">
        <v>23</v>
      </c>
      <c r="H9" s="3">
        <v>413</v>
      </c>
      <c r="I9" s="4" t="s">
        <v>13</v>
      </c>
      <c r="J9" s="4" t="s">
        <v>6</v>
      </c>
      <c r="K9" s="4">
        <v>4.12</v>
      </c>
      <c r="L9" s="4">
        <v>6.25</v>
      </c>
    </row>
    <row r="10" spans="1:13" x14ac:dyDescent="0.2">
      <c r="A10" s="3">
        <v>305</v>
      </c>
      <c r="B10" s="4" t="s">
        <v>13</v>
      </c>
      <c r="C10" s="4" t="s">
        <v>7</v>
      </c>
      <c r="D10" s="4">
        <v>0</v>
      </c>
      <c r="E10" s="4">
        <v>0</v>
      </c>
      <c r="F10" t="s">
        <v>16</v>
      </c>
      <c r="G10" s="4" t="s">
        <v>23</v>
      </c>
      <c r="H10" s="3">
        <v>413</v>
      </c>
      <c r="I10" s="4" t="s">
        <v>13</v>
      </c>
      <c r="J10" s="4" t="s">
        <v>7</v>
      </c>
      <c r="K10" s="4">
        <v>0</v>
      </c>
      <c r="L10" s="4">
        <v>0.55000000000000004</v>
      </c>
    </row>
    <row r="11" spans="1:13" x14ac:dyDescent="0.2">
      <c r="A11" s="3">
        <v>305</v>
      </c>
      <c r="B11" s="4" t="s">
        <v>13</v>
      </c>
      <c r="C11" s="4" t="s">
        <v>8</v>
      </c>
      <c r="D11" s="4">
        <v>0</v>
      </c>
      <c r="E11" s="4">
        <v>0</v>
      </c>
      <c r="F11" t="s">
        <v>16</v>
      </c>
      <c r="G11" s="4" t="s">
        <v>23</v>
      </c>
      <c r="H11" s="3">
        <v>413</v>
      </c>
      <c r="I11" s="4" t="s">
        <v>13</v>
      </c>
      <c r="J11" s="4" t="s">
        <v>8</v>
      </c>
      <c r="K11" s="4">
        <v>25.45</v>
      </c>
      <c r="L11" s="4">
        <v>34.5</v>
      </c>
    </row>
    <row r="12" spans="1:13" x14ac:dyDescent="0.2">
      <c r="A12" s="3">
        <v>305</v>
      </c>
      <c r="B12" s="4" t="s">
        <v>13</v>
      </c>
      <c r="C12" s="4" t="s">
        <v>9</v>
      </c>
      <c r="D12" s="4">
        <v>10.97</v>
      </c>
      <c r="E12" s="4">
        <v>0</v>
      </c>
      <c r="F12" t="s">
        <v>16</v>
      </c>
      <c r="G12" s="4" t="s">
        <v>23</v>
      </c>
      <c r="H12" s="3">
        <v>413</v>
      </c>
      <c r="I12" s="4" t="s">
        <v>13</v>
      </c>
      <c r="J12" s="4" t="s">
        <v>9</v>
      </c>
      <c r="K12" s="4">
        <v>0</v>
      </c>
      <c r="L12" s="4">
        <v>0</v>
      </c>
    </row>
    <row r="13" spans="1:13" x14ac:dyDescent="0.2">
      <c r="A13" s="3">
        <v>305</v>
      </c>
      <c r="B13" s="4" t="s">
        <v>13</v>
      </c>
      <c r="C13" s="4" t="s">
        <v>10</v>
      </c>
      <c r="D13" s="4">
        <v>0</v>
      </c>
      <c r="E13" s="4">
        <v>0</v>
      </c>
      <c r="F13" t="s">
        <v>16</v>
      </c>
      <c r="G13" s="4" t="s">
        <v>23</v>
      </c>
      <c r="H13" s="3">
        <v>413</v>
      </c>
      <c r="I13" s="4" t="s">
        <v>13</v>
      </c>
      <c r="J13" s="4" t="s">
        <v>10</v>
      </c>
      <c r="K13" s="4">
        <v>0</v>
      </c>
      <c r="L13" s="4">
        <v>0</v>
      </c>
    </row>
    <row r="14" spans="1:13" x14ac:dyDescent="0.2">
      <c r="A14" s="3">
        <v>305</v>
      </c>
      <c r="B14" s="4" t="s">
        <v>13</v>
      </c>
      <c r="C14" s="4" t="s">
        <v>11</v>
      </c>
      <c r="D14" s="4">
        <v>0</v>
      </c>
      <c r="E14" s="4">
        <v>0</v>
      </c>
      <c r="F14" t="s">
        <v>16</v>
      </c>
      <c r="G14" s="4" t="s">
        <v>23</v>
      </c>
      <c r="H14" s="3">
        <v>413</v>
      </c>
      <c r="I14" s="4" t="s">
        <v>13</v>
      </c>
      <c r="J14" s="4" t="s">
        <v>11</v>
      </c>
      <c r="K14" s="4">
        <v>0</v>
      </c>
      <c r="L14" s="4">
        <v>0</v>
      </c>
    </row>
    <row r="15" spans="1:13" x14ac:dyDescent="0.2">
      <c r="A15" s="3">
        <v>305</v>
      </c>
      <c r="B15" s="4" t="s">
        <v>13</v>
      </c>
      <c r="C15" s="4" t="s">
        <v>12</v>
      </c>
      <c r="D15" s="4">
        <v>82.5</v>
      </c>
      <c r="E15" s="4">
        <v>98.38</v>
      </c>
      <c r="F15" t="s">
        <v>16</v>
      </c>
      <c r="G15" s="4" t="s">
        <v>23</v>
      </c>
      <c r="H15" s="3">
        <v>413</v>
      </c>
      <c r="I15" s="4" t="s">
        <v>13</v>
      </c>
      <c r="J15" s="4" t="s">
        <v>12</v>
      </c>
      <c r="K15" s="4">
        <v>70.430000000000007</v>
      </c>
      <c r="L15" s="4">
        <v>58.7</v>
      </c>
    </row>
    <row r="16" spans="1:13" x14ac:dyDescent="0.2">
      <c r="A16" s="3">
        <v>148</v>
      </c>
      <c r="B16" s="4" t="s">
        <v>17</v>
      </c>
      <c r="C16" s="4" t="s">
        <v>6</v>
      </c>
      <c r="D16" s="4">
        <v>0</v>
      </c>
      <c r="E16" s="4">
        <v>0.01</v>
      </c>
      <c r="F16" t="s">
        <v>19</v>
      </c>
      <c r="G16" s="4" t="s">
        <v>6</v>
      </c>
      <c r="H16" s="3">
        <v>256</v>
      </c>
      <c r="I16" s="4" t="s">
        <v>17</v>
      </c>
      <c r="J16" s="4" t="s">
        <v>6</v>
      </c>
      <c r="K16" s="4">
        <v>0</v>
      </c>
      <c r="L16" s="4">
        <v>0</v>
      </c>
    </row>
    <row r="17" spans="1:12" x14ac:dyDescent="0.2">
      <c r="A17" s="3">
        <v>148</v>
      </c>
      <c r="B17" s="4" t="s">
        <v>17</v>
      </c>
      <c r="C17" s="4" t="s">
        <v>7</v>
      </c>
      <c r="D17" s="4">
        <v>97.53</v>
      </c>
      <c r="E17" s="4">
        <v>82.31</v>
      </c>
      <c r="F17" t="s">
        <v>19</v>
      </c>
      <c r="G17" s="4" t="s">
        <v>6</v>
      </c>
      <c r="H17" s="3">
        <v>256</v>
      </c>
      <c r="I17" s="4" t="s">
        <v>17</v>
      </c>
      <c r="J17" s="4" t="s">
        <v>7</v>
      </c>
      <c r="K17" s="4">
        <v>99.37</v>
      </c>
      <c r="L17" s="4">
        <v>98.96</v>
      </c>
    </row>
    <row r="18" spans="1:12" x14ac:dyDescent="0.2">
      <c r="A18" s="3">
        <v>148</v>
      </c>
      <c r="B18" s="4" t="s">
        <v>17</v>
      </c>
      <c r="C18" s="4" t="s">
        <v>8</v>
      </c>
      <c r="D18" s="4">
        <v>0.5</v>
      </c>
      <c r="E18" s="4">
        <v>8.8800000000000008</v>
      </c>
      <c r="F18" t="s">
        <v>19</v>
      </c>
      <c r="G18" s="4" t="s">
        <v>6</v>
      </c>
      <c r="H18" s="3">
        <v>256</v>
      </c>
      <c r="I18" s="4" t="s">
        <v>17</v>
      </c>
      <c r="J18" s="4" t="s">
        <v>8</v>
      </c>
      <c r="K18" s="4">
        <v>0.05</v>
      </c>
      <c r="L18" s="4">
        <v>0.02</v>
      </c>
    </row>
    <row r="19" spans="1:12" x14ac:dyDescent="0.2">
      <c r="A19" s="3">
        <v>148</v>
      </c>
      <c r="B19" s="4" t="s">
        <v>17</v>
      </c>
      <c r="C19" s="4" t="s">
        <v>9</v>
      </c>
      <c r="D19" s="4">
        <v>0</v>
      </c>
      <c r="E19" s="4">
        <v>0</v>
      </c>
      <c r="F19" t="s">
        <v>19</v>
      </c>
      <c r="G19" s="4" t="s">
        <v>6</v>
      </c>
      <c r="H19" s="3">
        <v>256</v>
      </c>
      <c r="I19" s="4" t="s">
        <v>17</v>
      </c>
      <c r="J19" s="4" t="s">
        <v>9</v>
      </c>
      <c r="K19" s="4">
        <v>0</v>
      </c>
      <c r="L19" s="4">
        <v>0</v>
      </c>
    </row>
    <row r="20" spans="1:12" x14ac:dyDescent="0.2">
      <c r="A20" s="3">
        <v>148</v>
      </c>
      <c r="B20" s="4" t="s">
        <v>17</v>
      </c>
      <c r="C20" s="4" t="s">
        <v>10</v>
      </c>
      <c r="D20" s="4">
        <v>0</v>
      </c>
      <c r="E20" s="4">
        <v>0</v>
      </c>
      <c r="F20" t="s">
        <v>19</v>
      </c>
      <c r="G20" s="4" t="s">
        <v>6</v>
      </c>
      <c r="H20" s="3">
        <v>256</v>
      </c>
      <c r="I20" s="4" t="s">
        <v>17</v>
      </c>
      <c r="J20" s="4" t="s">
        <v>10</v>
      </c>
      <c r="K20" s="4">
        <v>0</v>
      </c>
      <c r="L20" s="4">
        <v>0</v>
      </c>
    </row>
    <row r="21" spans="1:12" x14ac:dyDescent="0.2">
      <c r="A21" s="3">
        <v>148</v>
      </c>
      <c r="B21" s="4" t="s">
        <v>17</v>
      </c>
      <c r="C21" s="4" t="s">
        <v>11</v>
      </c>
      <c r="D21" s="4">
        <v>0</v>
      </c>
      <c r="E21" s="4">
        <v>0</v>
      </c>
      <c r="F21" t="s">
        <v>19</v>
      </c>
      <c r="G21" s="4" t="s">
        <v>6</v>
      </c>
      <c r="H21" s="3">
        <v>256</v>
      </c>
      <c r="I21" s="4" t="s">
        <v>17</v>
      </c>
      <c r="J21" s="4" t="s">
        <v>11</v>
      </c>
      <c r="K21" s="4">
        <v>0</v>
      </c>
      <c r="L21" s="4">
        <v>0</v>
      </c>
    </row>
    <row r="22" spans="1:12" x14ac:dyDescent="0.2">
      <c r="A22" s="3">
        <v>148</v>
      </c>
      <c r="B22" s="4" t="s">
        <v>17</v>
      </c>
      <c r="C22" s="4" t="s">
        <v>12</v>
      </c>
      <c r="D22" s="4">
        <v>1.97</v>
      </c>
      <c r="E22" s="4">
        <v>8.8000000000000007</v>
      </c>
      <c r="F22" t="s">
        <v>19</v>
      </c>
      <c r="G22" s="4" t="s">
        <v>6</v>
      </c>
      <c r="H22" s="3">
        <v>256</v>
      </c>
      <c r="I22" s="4" t="s">
        <v>17</v>
      </c>
      <c r="J22" s="4" t="s">
        <v>12</v>
      </c>
      <c r="K22" s="4">
        <v>0.57999999999999996</v>
      </c>
      <c r="L22" s="4">
        <v>1.02</v>
      </c>
    </row>
    <row r="23" spans="1:12" x14ac:dyDescent="0.2">
      <c r="A23" s="3">
        <v>176</v>
      </c>
      <c r="B23" s="4" t="s">
        <v>17</v>
      </c>
      <c r="C23" s="4" t="s">
        <v>6</v>
      </c>
      <c r="D23" s="4">
        <v>0</v>
      </c>
      <c r="E23" s="4">
        <v>0</v>
      </c>
      <c r="F23" t="s">
        <v>19</v>
      </c>
      <c r="G23" s="4" t="s">
        <v>6</v>
      </c>
      <c r="H23" s="3">
        <v>284</v>
      </c>
      <c r="I23" s="4" t="s">
        <v>17</v>
      </c>
      <c r="J23" s="4" t="s">
        <v>6</v>
      </c>
      <c r="K23" s="4">
        <v>0</v>
      </c>
      <c r="L23" s="4">
        <v>0</v>
      </c>
    </row>
    <row r="24" spans="1:12" x14ac:dyDescent="0.2">
      <c r="A24" s="3">
        <v>176</v>
      </c>
      <c r="B24" s="4" t="s">
        <v>17</v>
      </c>
      <c r="C24" s="4" t="s">
        <v>7</v>
      </c>
      <c r="D24" s="4">
        <v>97.53</v>
      </c>
      <c r="E24" s="4">
        <v>82.31</v>
      </c>
      <c r="F24" t="s">
        <v>19</v>
      </c>
      <c r="G24" s="4" t="s">
        <v>6</v>
      </c>
      <c r="H24" s="3">
        <v>284</v>
      </c>
      <c r="I24" s="4" t="s">
        <v>17</v>
      </c>
      <c r="J24" s="4" t="s">
        <v>7</v>
      </c>
      <c r="K24" s="4">
        <v>99.37</v>
      </c>
      <c r="L24" s="4">
        <v>98.96</v>
      </c>
    </row>
    <row r="25" spans="1:12" x14ac:dyDescent="0.2">
      <c r="A25" s="3">
        <v>176</v>
      </c>
      <c r="B25" s="4" t="s">
        <v>17</v>
      </c>
      <c r="C25" s="4" t="s">
        <v>8</v>
      </c>
      <c r="D25" s="4">
        <v>0.5</v>
      </c>
      <c r="E25" s="4">
        <v>8.8800000000000008</v>
      </c>
      <c r="F25" t="s">
        <v>19</v>
      </c>
      <c r="G25" s="4" t="s">
        <v>6</v>
      </c>
      <c r="H25" s="3">
        <v>284</v>
      </c>
      <c r="I25" s="4" t="s">
        <v>17</v>
      </c>
      <c r="J25" s="4" t="s">
        <v>8</v>
      </c>
      <c r="K25" s="4">
        <v>0.05</v>
      </c>
      <c r="L25" s="4">
        <v>0.02</v>
      </c>
    </row>
    <row r="26" spans="1:12" x14ac:dyDescent="0.2">
      <c r="A26" s="3">
        <v>176</v>
      </c>
      <c r="B26" s="4" t="s">
        <v>17</v>
      </c>
      <c r="C26" s="4" t="s">
        <v>9</v>
      </c>
      <c r="D26" s="4">
        <v>0</v>
      </c>
      <c r="E26" s="4">
        <v>0</v>
      </c>
      <c r="F26" t="s">
        <v>19</v>
      </c>
      <c r="G26" s="4" t="s">
        <v>6</v>
      </c>
      <c r="H26" s="3">
        <v>284</v>
      </c>
      <c r="I26" s="4" t="s">
        <v>17</v>
      </c>
      <c r="J26" s="4" t="s">
        <v>9</v>
      </c>
      <c r="K26" s="4">
        <v>0</v>
      </c>
      <c r="L26" s="4">
        <v>0</v>
      </c>
    </row>
    <row r="27" spans="1:12" x14ac:dyDescent="0.2">
      <c r="A27" s="3">
        <v>176</v>
      </c>
      <c r="B27" s="4" t="s">
        <v>17</v>
      </c>
      <c r="C27" s="4" t="s">
        <v>10</v>
      </c>
      <c r="D27" s="4">
        <v>0</v>
      </c>
      <c r="E27" s="4">
        <v>0</v>
      </c>
      <c r="F27" t="s">
        <v>19</v>
      </c>
      <c r="G27" s="4" t="s">
        <v>6</v>
      </c>
      <c r="H27" s="3">
        <v>284</v>
      </c>
      <c r="I27" s="4" t="s">
        <v>17</v>
      </c>
      <c r="J27" s="4" t="s">
        <v>10</v>
      </c>
      <c r="K27" s="4">
        <v>0</v>
      </c>
      <c r="L27" s="4">
        <v>0</v>
      </c>
    </row>
    <row r="28" spans="1:12" x14ac:dyDescent="0.2">
      <c r="A28" s="3">
        <v>176</v>
      </c>
      <c r="B28" s="4" t="s">
        <v>17</v>
      </c>
      <c r="C28" s="4" t="s">
        <v>11</v>
      </c>
      <c r="D28" s="4">
        <v>0</v>
      </c>
      <c r="E28" s="4">
        <v>0</v>
      </c>
      <c r="F28" t="s">
        <v>19</v>
      </c>
      <c r="G28" s="4" t="s">
        <v>6</v>
      </c>
      <c r="H28" s="3">
        <v>284</v>
      </c>
      <c r="I28" s="4" t="s">
        <v>17</v>
      </c>
      <c r="J28" s="4" t="s">
        <v>11</v>
      </c>
      <c r="K28" s="4">
        <v>0</v>
      </c>
      <c r="L28" s="4">
        <v>0</v>
      </c>
    </row>
    <row r="29" spans="1:12" x14ac:dyDescent="0.2">
      <c r="A29" s="3">
        <v>176</v>
      </c>
      <c r="B29" s="4" t="s">
        <v>17</v>
      </c>
      <c r="C29" s="4" t="s">
        <v>12</v>
      </c>
      <c r="D29" s="4">
        <v>1.97</v>
      </c>
      <c r="E29" s="4">
        <v>8.81</v>
      </c>
      <c r="F29" t="s">
        <v>19</v>
      </c>
      <c r="G29" s="4" t="s">
        <v>6</v>
      </c>
      <c r="H29" s="3">
        <v>284</v>
      </c>
      <c r="I29" s="4" t="s">
        <v>17</v>
      </c>
      <c r="J29" s="4" t="s">
        <v>12</v>
      </c>
      <c r="K29" s="4">
        <v>0.57999999999999996</v>
      </c>
      <c r="L29" s="4">
        <v>1.02</v>
      </c>
    </row>
    <row r="30" spans="1:12" x14ac:dyDescent="0.2">
      <c r="A30" s="3">
        <v>311</v>
      </c>
      <c r="B30" s="4" t="s">
        <v>17</v>
      </c>
      <c r="C30" s="4" t="s">
        <v>6</v>
      </c>
      <c r="D30" s="4">
        <v>74.8</v>
      </c>
      <c r="E30" s="4">
        <v>89.89</v>
      </c>
      <c r="F30" t="s">
        <v>18</v>
      </c>
      <c r="G30" s="4" t="s">
        <v>24</v>
      </c>
      <c r="H30" s="5" t="s">
        <v>30</v>
      </c>
    </row>
    <row r="31" spans="1:12" x14ac:dyDescent="0.2">
      <c r="A31" s="3">
        <v>311</v>
      </c>
      <c r="B31" s="4" t="s">
        <v>17</v>
      </c>
      <c r="C31" s="4" t="s">
        <v>7</v>
      </c>
      <c r="D31" s="4">
        <v>0</v>
      </c>
      <c r="E31" s="4">
        <v>0</v>
      </c>
      <c r="F31" t="s">
        <v>18</v>
      </c>
      <c r="G31" s="4" t="s">
        <v>24</v>
      </c>
      <c r="H31" s="5"/>
    </row>
    <row r="32" spans="1:12" x14ac:dyDescent="0.2">
      <c r="A32" s="3">
        <v>311</v>
      </c>
      <c r="B32" s="4" t="s">
        <v>17</v>
      </c>
      <c r="C32" s="4" t="s">
        <v>8</v>
      </c>
      <c r="D32" s="4">
        <v>0</v>
      </c>
      <c r="E32" s="4">
        <v>0</v>
      </c>
      <c r="F32" t="s">
        <v>18</v>
      </c>
      <c r="G32" s="4" t="s">
        <v>24</v>
      </c>
      <c r="H32" s="5"/>
    </row>
    <row r="33" spans="1:12" x14ac:dyDescent="0.2">
      <c r="A33" s="3">
        <v>311</v>
      </c>
      <c r="B33" s="4" t="s">
        <v>17</v>
      </c>
      <c r="C33" s="4" t="s">
        <v>9</v>
      </c>
      <c r="D33" s="4">
        <v>20.43</v>
      </c>
      <c r="E33" s="4">
        <v>9.2100000000000009</v>
      </c>
      <c r="F33" t="s">
        <v>18</v>
      </c>
      <c r="G33" s="4" t="s">
        <v>24</v>
      </c>
      <c r="H33" s="5"/>
    </row>
    <row r="34" spans="1:12" x14ac:dyDescent="0.2">
      <c r="A34" s="3">
        <v>311</v>
      </c>
      <c r="B34" s="4" t="s">
        <v>17</v>
      </c>
      <c r="C34" s="4" t="s">
        <v>10</v>
      </c>
      <c r="D34" s="4">
        <v>4.74</v>
      </c>
      <c r="E34" s="4">
        <v>0.9</v>
      </c>
      <c r="F34" t="s">
        <v>18</v>
      </c>
      <c r="G34" s="4" t="s">
        <v>24</v>
      </c>
      <c r="H34" s="5"/>
    </row>
    <row r="35" spans="1:12" x14ac:dyDescent="0.2">
      <c r="A35" s="3">
        <v>311</v>
      </c>
      <c r="B35" s="4" t="s">
        <v>17</v>
      </c>
      <c r="C35" s="4" t="s">
        <v>11</v>
      </c>
      <c r="D35" s="4">
        <v>0</v>
      </c>
      <c r="E35" s="4">
        <v>0</v>
      </c>
      <c r="F35" t="s">
        <v>18</v>
      </c>
      <c r="G35" s="4" t="s">
        <v>24</v>
      </c>
      <c r="H35" s="5"/>
    </row>
    <row r="36" spans="1:12" x14ac:dyDescent="0.2">
      <c r="A36" s="3">
        <v>311</v>
      </c>
      <c r="B36" s="4" t="s">
        <v>17</v>
      </c>
      <c r="C36" s="4" t="s">
        <v>12</v>
      </c>
      <c r="D36" s="4">
        <v>0.04</v>
      </c>
      <c r="E36" s="4">
        <v>0</v>
      </c>
      <c r="F36" t="s">
        <v>18</v>
      </c>
      <c r="G36" s="4" t="s">
        <v>24</v>
      </c>
      <c r="H36" s="5"/>
    </row>
    <row r="37" spans="1:12" x14ac:dyDescent="0.2">
      <c r="A37" s="3">
        <v>312</v>
      </c>
      <c r="B37" s="4" t="s">
        <v>17</v>
      </c>
      <c r="C37" s="4" t="s">
        <v>6</v>
      </c>
      <c r="D37" s="4">
        <v>74.989999999999995</v>
      </c>
      <c r="E37" s="4">
        <v>89.91</v>
      </c>
      <c r="F37" t="s">
        <v>18</v>
      </c>
      <c r="G37" s="4" t="s">
        <v>25</v>
      </c>
      <c r="H37" s="3">
        <v>420</v>
      </c>
      <c r="I37" s="4" t="s">
        <v>17</v>
      </c>
      <c r="J37" s="4" t="s">
        <v>6</v>
      </c>
      <c r="K37" s="4">
        <v>4.3600000000000003</v>
      </c>
      <c r="L37" s="4">
        <v>1.61</v>
      </c>
    </row>
    <row r="38" spans="1:12" x14ac:dyDescent="0.2">
      <c r="A38" s="3">
        <v>312</v>
      </c>
      <c r="B38" s="4" t="s">
        <v>17</v>
      </c>
      <c r="C38" s="4" t="s">
        <v>7</v>
      </c>
      <c r="D38" s="4">
        <v>0</v>
      </c>
      <c r="E38" s="4">
        <v>0</v>
      </c>
      <c r="F38" t="s">
        <v>18</v>
      </c>
      <c r="G38" s="4" t="s">
        <v>25</v>
      </c>
      <c r="H38" s="3">
        <v>420</v>
      </c>
      <c r="I38" s="4" t="s">
        <v>17</v>
      </c>
      <c r="J38" s="4" t="s">
        <v>7</v>
      </c>
      <c r="K38" s="4">
        <v>0</v>
      </c>
      <c r="L38" s="4">
        <v>0</v>
      </c>
    </row>
    <row r="39" spans="1:12" x14ac:dyDescent="0.2">
      <c r="A39" s="3">
        <v>312</v>
      </c>
      <c r="B39" s="4" t="s">
        <v>17</v>
      </c>
      <c r="C39" s="4" t="s">
        <v>8</v>
      </c>
      <c r="D39" s="4">
        <v>0</v>
      </c>
      <c r="E39" s="4">
        <v>0</v>
      </c>
      <c r="F39" t="s">
        <v>18</v>
      </c>
      <c r="G39" s="4" t="s">
        <v>25</v>
      </c>
      <c r="H39" s="3">
        <v>420</v>
      </c>
      <c r="I39" s="4" t="s">
        <v>17</v>
      </c>
      <c r="J39" s="4" t="s">
        <v>8</v>
      </c>
      <c r="K39" s="4">
        <v>0</v>
      </c>
      <c r="L39" s="4">
        <v>0</v>
      </c>
    </row>
    <row r="40" spans="1:12" x14ac:dyDescent="0.2">
      <c r="A40" s="3">
        <v>312</v>
      </c>
      <c r="B40" s="4" t="s">
        <v>17</v>
      </c>
      <c r="C40" s="4" t="s">
        <v>9</v>
      </c>
      <c r="D40" s="4">
        <v>3.16</v>
      </c>
      <c r="E40" s="4">
        <v>0.91</v>
      </c>
      <c r="F40" t="s">
        <v>18</v>
      </c>
      <c r="G40" s="4" t="s">
        <v>25</v>
      </c>
      <c r="H40" s="3">
        <v>420</v>
      </c>
      <c r="I40" s="4" t="s">
        <v>17</v>
      </c>
      <c r="J40" s="4" t="s">
        <v>9</v>
      </c>
      <c r="K40" s="4">
        <v>77.180000000000007</v>
      </c>
      <c r="L40" s="4">
        <v>80.989999999999995</v>
      </c>
    </row>
    <row r="41" spans="1:12" x14ac:dyDescent="0.2">
      <c r="A41" s="3">
        <v>312</v>
      </c>
      <c r="B41" s="4" t="s">
        <v>17</v>
      </c>
      <c r="C41" s="4" t="s">
        <v>10</v>
      </c>
      <c r="D41" s="4">
        <v>4.5999999999999996</v>
      </c>
      <c r="E41" s="4">
        <v>0.9</v>
      </c>
      <c r="F41" t="s">
        <v>18</v>
      </c>
      <c r="G41" s="4" t="s">
        <v>25</v>
      </c>
      <c r="H41" s="3">
        <v>420</v>
      </c>
      <c r="I41" s="4" t="s">
        <v>17</v>
      </c>
      <c r="J41" s="4" t="s">
        <v>10</v>
      </c>
      <c r="K41" s="4">
        <v>1.84</v>
      </c>
      <c r="L41" s="4">
        <v>0.69</v>
      </c>
    </row>
    <row r="42" spans="1:12" x14ac:dyDescent="0.2">
      <c r="A42" s="3">
        <v>312</v>
      </c>
      <c r="B42" s="4" t="s">
        <v>17</v>
      </c>
      <c r="C42" s="4" t="s">
        <v>11</v>
      </c>
      <c r="D42" s="4">
        <v>0</v>
      </c>
      <c r="E42" s="4">
        <v>0</v>
      </c>
      <c r="F42" t="s">
        <v>18</v>
      </c>
      <c r="G42" s="4" t="s">
        <v>25</v>
      </c>
      <c r="H42" s="3">
        <v>420</v>
      </c>
      <c r="I42" s="4" t="s">
        <v>17</v>
      </c>
      <c r="J42" s="4" t="s">
        <v>11</v>
      </c>
      <c r="K42" s="4">
        <v>0</v>
      </c>
      <c r="L42" s="4">
        <v>0</v>
      </c>
    </row>
    <row r="43" spans="1:12" x14ac:dyDescent="0.2">
      <c r="A43" s="3">
        <v>312</v>
      </c>
      <c r="B43" s="4" t="s">
        <v>17</v>
      </c>
      <c r="C43" s="4" t="s">
        <v>12</v>
      </c>
      <c r="D43" s="4">
        <v>17.25</v>
      </c>
      <c r="E43" s="4">
        <v>8.2799999999999994</v>
      </c>
      <c r="F43" t="s">
        <v>18</v>
      </c>
      <c r="G43" s="4" t="s">
        <v>25</v>
      </c>
      <c r="H43" s="3">
        <v>420</v>
      </c>
      <c r="I43" s="4" t="s">
        <v>17</v>
      </c>
      <c r="J43" s="4" t="s">
        <v>12</v>
      </c>
      <c r="K43" s="4">
        <v>16.62</v>
      </c>
      <c r="L43" s="4">
        <v>16.71</v>
      </c>
    </row>
    <row r="44" spans="1:12" s="8" customFormat="1" x14ac:dyDescent="0.2">
      <c r="A44" s="6">
        <v>75</v>
      </c>
      <c r="B44" s="7" t="s">
        <v>17</v>
      </c>
      <c r="C44" s="7" t="s">
        <v>6</v>
      </c>
      <c r="D44" s="7">
        <v>95.31</v>
      </c>
      <c r="E44" s="7">
        <v>82.11</v>
      </c>
      <c r="F44" s="8" t="s">
        <v>18</v>
      </c>
      <c r="G44" s="7" t="s">
        <v>23</v>
      </c>
      <c r="H44" s="6">
        <v>183</v>
      </c>
      <c r="I44" s="7" t="s">
        <v>17</v>
      </c>
      <c r="J44" s="7" t="s">
        <v>6</v>
      </c>
      <c r="K44" s="7">
        <v>80.319999999999993</v>
      </c>
      <c r="L44" s="7">
        <v>73.510000000000005</v>
      </c>
    </row>
    <row r="45" spans="1:12" s="8" customFormat="1" x14ac:dyDescent="0.2">
      <c r="A45" s="6">
        <v>75</v>
      </c>
      <c r="B45" s="7" t="s">
        <v>17</v>
      </c>
      <c r="C45" s="7" t="s">
        <v>7</v>
      </c>
      <c r="D45" s="7">
        <v>3</v>
      </c>
      <c r="E45" s="7">
        <v>11.99</v>
      </c>
      <c r="F45" s="8" t="s">
        <v>18</v>
      </c>
      <c r="G45" s="7" t="s">
        <v>23</v>
      </c>
      <c r="H45" s="6">
        <v>183</v>
      </c>
      <c r="I45" s="7" t="s">
        <v>17</v>
      </c>
      <c r="J45" s="7" t="s">
        <v>7</v>
      </c>
      <c r="K45" s="7">
        <v>12.39</v>
      </c>
      <c r="L45" s="7">
        <v>22.95</v>
      </c>
    </row>
    <row r="46" spans="1:12" s="8" customFormat="1" x14ac:dyDescent="0.2">
      <c r="A46" s="6">
        <v>75</v>
      </c>
      <c r="B46" s="7" t="s">
        <v>17</v>
      </c>
      <c r="C46" s="7" t="s">
        <v>8</v>
      </c>
      <c r="D46" s="7">
        <v>0</v>
      </c>
      <c r="E46" s="7">
        <v>0.03</v>
      </c>
      <c r="F46" s="8" t="s">
        <v>18</v>
      </c>
      <c r="G46" s="7" t="s">
        <v>23</v>
      </c>
      <c r="H46" s="6">
        <v>183</v>
      </c>
      <c r="I46" s="7" t="s">
        <v>17</v>
      </c>
      <c r="J46" s="7" t="s">
        <v>8</v>
      </c>
      <c r="K46" s="7">
        <v>0.11</v>
      </c>
      <c r="L46" s="7">
        <v>0.05</v>
      </c>
    </row>
    <row r="47" spans="1:12" s="8" customFormat="1" x14ac:dyDescent="0.2">
      <c r="A47" s="6">
        <v>75</v>
      </c>
      <c r="B47" s="7" t="s">
        <v>17</v>
      </c>
      <c r="C47" s="7" t="s">
        <v>9</v>
      </c>
      <c r="D47" s="7">
        <v>0</v>
      </c>
      <c r="E47" s="7">
        <v>0</v>
      </c>
      <c r="F47" s="8" t="s">
        <v>18</v>
      </c>
      <c r="G47" s="7" t="s">
        <v>23</v>
      </c>
      <c r="H47" s="6">
        <v>183</v>
      </c>
      <c r="I47" s="7" t="s">
        <v>17</v>
      </c>
      <c r="J47" s="7" t="s">
        <v>9</v>
      </c>
      <c r="K47" s="7">
        <v>0</v>
      </c>
      <c r="L47" s="7">
        <v>0</v>
      </c>
    </row>
    <row r="48" spans="1:12" s="8" customFormat="1" x14ac:dyDescent="0.2">
      <c r="A48" s="6">
        <v>75</v>
      </c>
      <c r="B48" s="7" t="s">
        <v>17</v>
      </c>
      <c r="C48" s="7" t="s">
        <v>10</v>
      </c>
      <c r="D48" s="7">
        <v>0</v>
      </c>
      <c r="E48" s="7">
        <v>0</v>
      </c>
      <c r="F48" s="8" t="s">
        <v>18</v>
      </c>
      <c r="G48" s="7" t="s">
        <v>23</v>
      </c>
      <c r="H48" s="6">
        <v>183</v>
      </c>
      <c r="I48" s="7" t="s">
        <v>17</v>
      </c>
      <c r="J48" s="7" t="s">
        <v>10</v>
      </c>
      <c r="K48" s="7">
        <v>0</v>
      </c>
      <c r="L48" s="7">
        <v>0</v>
      </c>
    </row>
    <row r="49" spans="1:12" s="8" customFormat="1" x14ac:dyDescent="0.2">
      <c r="A49" s="6">
        <v>75</v>
      </c>
      <c r="B49" s="7" t="s">
        <v>17</v>
      </c>
      <c r="C49" s="7" t="s">
        <v>11</v>
      </c>
      <c r="D49" s="7">
        <v>0</v>
      </c>
      <c r="E49" s="7">
        <v>0</v>
      </c>
      <c r="F49" s="8" t="s">
        <v>18</v>
      </c>
      <c r="G49" s="7" t="s">
        <v>23</v>
      </c>
      <c r="H49" s="6">
        <v>183</v>
      </c>
      <c r="I49" s="7" t="s">
        <v>17</v>
      </c>
      <c r="J49" s="7" t="s">
        <v>11</v>
      </c>
      <c r="K49" s="7">
        <v>0</v>
      </c>
      <c r="L49" s="7">
        <v>0</v>
      </c>
    </row>
    <row r="50" spans="1:12" s="8" customFormat="1" x14ac:dyDescent="0.2">
      <c r="A50" s="6">
        <v>75</v>
      </c>
      <c r="B50" s="7" t="s">
        <v>17</v>
      </c>
      <c r="C50" s="7" t="s">
        <v>12</v>
      </c>
      <c r="D50" s="7">
        <v>1.69</v>
      </c>
      <c r="E50" s="7">
        <v>5.88</v>
      </c>
      <c r="F50" s="8" t="s">
        <v>18</v>
      </c>
      <c r="G50" s="7" t="s">
        <v>23</v>
      </c>
      <c r="H50" s="6">
        <v>183</v>
      </c>
      <c r="I50" s="7" t="s">
        <v>17</v>
      </c>
      <c r="J50" s="7" t="s">
        <v>12</v>
      </c>
      <c r="K50" s="7">
        <v>7.18</v>
      </c>
      <c r="L50" s="7">
        <v>3.49</v>
      </c>
    </row>
    <row r="51" spans="1:12" x14ac:dyDescent="0.2">
      <c r="A51" s="3">
        <v>154</v>
      </c>
      <c r="B51" s="4" t="s">
        <v>20</v>
      </c>
      <c r="C51" s="4" t="s">
        <v>6</v>
      </c>
      <c r="D51" s="4">
        <v>0</v>
      </c>
      <c r="E51" s="4">
        <v>0</v>
      </c>
      <c r="F51" t="s">
        <v>19</v>
      </c>
      <c r="G51" s="4" t="s">
        <v>23</v>
      </c>
      <c r="H51" s="5" t="s">
        <v>31</v>
      </c>
    </row>
    <row r="52" spans="1:12" x14ac:dyDescent="0.2">
      <c r="A52" s="3">
        <v>154</v>
      </c>
      <c r="B52" s="4" t="s">
        <v>20</v>
      </c>
      <c r="C52" s="4" t="s">
        <v>7</v>
      </c>
      <c r="D52" s="4">
        <v>100</v>
      </c>
      <c r="E52" s="4">
        <v>57.72</v>
      </c>
      <c r="F52" t="s">
        <v>19</v>
      </c>
      <c r="G52" s="4" t="s">
        <v>23</v>
      </c>
      <c r="H52" s="5"/>
    </row>
    <row r="53" spans="1:12" x14ac:dyDescent="0.2">
      <c r="A53" s="3">
        <v>154</v>
      </c>
      <c r="B53" s="4" t="s">
        <v>20</v>
      </c>
      <c r="C53" s="4" t="s">
        <v>8</v>
      </c>
      <c r="D53" s="4">
        <v>0</v>
      </c>
      <c r="E53" s="4">
        <v>0.01</v>
      </c>
      <c r="F53" t="s">
        <v>19</v>
      </c>
      <c r="G53" s="4" t="s">
        <v>23</v>
      </c>
      <c r="H53" s="5"/>
    </row>
    <row r="54" spans="1:12" x14ac:dyDescent="0.2">
      <c r="A54" s="3">
        <v>154</v>
      </c>
      <c r="B54" s="4" t="s">
        <v>20</v>
      </c>
      <c r="C54" s="4" t="s">
        <v>9</v>
      </c>
      <c r="D54" s="4">
        <v>0</v>
      </c>
      <c r="E54" s="4">
        <v>0</v>
      </c>
      <c r="F54" t="s">
        <v>19</v>
      </c>
      <c r="G54" s="4" t="s">
        <v>23</v>
      </c>
      <c r="H54" s="5"/>
    </row>
    <row r="55" spans="1:12" x14ac:dyDescent="0.2">
      <c r="A55" s="3">
        <v>154</v>
      </c>
      <c r="B55" s="4" t="s">
        <v>20</v>
      </c>
      <c r="C55" s="4" t="s">
        <v>10</v>
      </c>
      <c r="D55" s="4">
        <v>0</v>
      </c>
      <c r="E55" s="4">
        <v>0</v>
      </c>
      <c r="F55" t="s">
        <v>19</v>
      </c>
      <c r="G55" s="4" t="s">
        <v>23</v>
      </c>
      <c r="H55" s="5"/>
    </row>
    <row r="56" spans="1:12" x14ac:dyDescent="0.2">
      <c r="A56" s="3">
        <v>154</v>
      </c>
      <c r="B56" s="4" t="s">
        <v>20</v>
      </c>
      <c r="C56" s="4" t="s">
        <v>11</v>
      </c>
      <c r="D56" s="4">
        <v>0</v>
      </c>
      <c r="E56" s="4">
        <v>0</v>
      </c>
      <c r="F56" t="s">
        <v>19</v>
      </c>
      <c r="G56" s="4" t="s">
        <v>23</v>
      </c>
      <c r="H56" s="5"/>
    </row>
    <row r="57" spans="1:12" x14ac:dyDescent="0.2">
      <c r="A57" s="3">
        <v>154</v>
      </c>
      <c r="B57" s="4" t="s">
        <v>20</v>
      </c>
      <c r="C57" s="4" t="s">
        <v>12</v>
      </c>
      <c r="D57" s="4">
        <v>0</v>
      </c>
      <c r="E57" s="4">
        <v>42.26</v>
      </c>
      <c r="F57" t="s">
        <v>19</v>
      </c>
      <c r="G57" s="4" t="s">
        <v>23</v>
      </c>
      <c r="H57" s="5"/>
    </row>
    <row r="58" spans="1:12" x14ac:dyDescent="0.2">
      <c r="A58" s="3">
        <v>155</v>
      </c>
      <c r="B58" s="4" t="s">
        <v>20</v>
      </c>
      <c r="C58" s="4" t="s">
        <v>6</v>
      </c>
      <c r="D58" s="4">
        <v>0</v>
      </c>
      <c r="E58" s="4">
        <v>0</v>
      </c>
      <c r="F58" t="s">
        <v>19</v>
      </c>
      <c r="G58" s="4" t="s">
        <v>26</v>
      </c>
      <c r="H58" s="5" t="s">
        <v>32</v>
      </c>
    </row>
    <row r="59" spans="1:12" x14ac:dyDescent="0.2">
      <c r="A59" s="3">
        <v>155</v>
      </c>
      <c r="B59" s="4" t="s">
        <v>20</v>
      </c>
      <c r="C59" s="4" t="s">
        <v>7</v>
      </c>
      <c r="D59" s="4">
        <v>100</v>
      </c>
      <c r="E59" s="4">
        <v>57.72</v>
      </c>
      <c r="F59" t="s">
        <v>19</v>
      </c>
      <c r="G59" s="4" t="s">
        <v>26</v>
      </c>
      <c r="H59" s="5"/>
    </row>
    <row r="60" spans="1:12" x14ac:dyDescent="0.2">
      <c r="A60" s="3">
        <v>155</v>
      </c>
      <c r="B60" s="4" t="s">
        <v>20</v>
      </c>
      <c r="C60" s="4" t="s">
        <v>8</v>
      </c>
      <c r="D60" s="4">
        <v>0</v>
      </c>
      <c r="E60" s="4">
        <v>0</v>
      </c>
      <c r="F60" t="s">
        <v>19</v>
      </c>
      <c r="G60" s="4" t="s">
        <v>26</v>
      </c>
      <c r="H60" s="5"/>
    </row>
    <row r="61" spans="1:12" x14ac:dyDescent="0.2">
      <c r="A61" s="3">
        <v>155</v>
      </c>
      <c r="B61" s="4" t="s">
        <v>20</v>
      </c>
      <c r="C61" s="4" t="s">
        <v>9</v>
      </c>
      <c r="D61" s="4">
        <v>0</v>
      </c>
      <c r="E61" s="4">
        <v>0</v>
      </c>
      <c r="F61" t="s">
        <v>19</v>
      </c>
      <c r="G61" s="4" t="s">
        <v>26</v>
      </c>
      <c r="H61" s="5"/>
    </row>
    <row r="62" spans="1:12" x14ac:dyDescent="0.2">
      <c r="A62" s="3">
        <v>155</v>
      </c>
      <c r="B62" s="4" t="s">
        <v>20</v>
      </c>
      <c r="C62" s="4" t="s">
        <v>10</v>
      </c>
      <c r="D62" s="4">
        <v>0</v>
      </c>
      <c r="E62" s="4">
        <v>0</v>
      </c>
      <c r="F62" t="s">
        <v>19</v>
      </c>
      <c r="G62" s="4" t="s">
        <v>26</v>
      </c>
      <c r="H62" s="5"/>
    </row>
    <row r="63" spans="1:12" x14ac:dyDescent="0.2">
      <c r="A63" s="3">
        <v>155</v>
      </c>
      <c r="B63" s="4" t="s">
        <v>20</v>
      </c>
      <c r="C63" s="4" t="s">
        <v>11</v>
      </c>
      <c r="D63" s="4">
        <v>0</v>
      </c>
      <c r="E63" s="4">
        <v>0</v>
      </c>
      <c r="F63" t="s">
        <v>19</v>
      </c>
      <c r="G63" s="4" t="s">
        <v>26</v>
      </c>
      <c r="H63" s="5"/>
    </row>
    <row r="64" spans="1:12" x14ac:dyDescent="0.2">
      <c r="A64" s="3">
        <v>155</v>
      </c>
      <c r="B64" s="4" t="s">
        <v>20</v>
      </c>
      <c r="C64" s="4" t="s">
        <v>12</v>
      </c>
      <c r="D64" s="4">
        <v>0</v>
      </c>
      <c r="E64" s="4">
        <v>42.27</v>
      </c>
      <c r="F64" t="s">
        <v>19</v>
      </c>
      <c r="G64" s="4" t="s">
        <v>26</v>
      </c>
      <c r="H64" s="5"/>
    </row>
    <row r="65" spans="1:12" x14ac:dyDescent="0.2">
      <c r="A65" s="3">
        <v>124</v>
      </c>
      <c r="B65" s="4" t="s">
        <v>20</v>
      </c>
      <c r="C65" s="4" t="s">
        <v>6</v>
      </c>
      <c r="D65" s="4">
        <v>30.88</v>
      </c>
      <c r="E65" s="4">
        <v>59.16</v>
      </c>
      <c r="F65" t="s">
        <v>15</v>
      </c>
      <c r="G65" s="4" t="s">
        <v>27</v>
      </c>
      <c r="H65" s="3">
        <v>232</v>
      </c>
      <c r="I65" s="4" t="s">
        <v>20</v>
      </c>
      <c r="J65" s="4" t="s">
        <v>6</v>
      </c>
      <c r="K65" s="4">
        <v>37.58</v>
      </c>
      <c r="L65" s="4">
        <v>31.77</v>
      </c>
    </row>
    <row r="66" spans="1:12" x14ac:dyDescent="0.2">
      <c r="A66" s="3">
        <v>124</v>
      </c>
      <c r="B66" s="4" t="s">
        <v>20</v>
      </c>
      <c r="C66" s="4" t="s">
        <v>7</v>
      </c>
      <c r="D66" s="4">
        <v>0</v>
      </c>
      <c r="E66" s="4">
        <v>0</v>
      </c>
      <c r="F66" t="s">
        <v>15</v>
      </c>
      <c r="G66" s="4" t="s">
        <v>27</v>
      </c>
      <c r="H66" s="3">
        <v>232</v>
      </c>
      <c r="I66" s="4" t="s">
        <v>20</v>
      </c>
      <c r="J66" s="4" t="s">
        <v>7</v>
      </c>
      <c r="K66" s="4">
        <v>0</v>
      </c>
      <c r="L66" s="4">
        <v>0</v>
      </c>
    </row>
    <row r="67" spans="1:12" x14ac:dyDescent="0.2">
      <c r="A67" s="3">
        <v>124</v>
      </c>
      <c r="B67" s="4" t="s">
        <v>20</v>
      </c>
      <c r="C67" s="4" t="s">
        <v>8</v>
      </c>
      <c r="D67" s="4">
        <v>20.23</v>
      </c>
      <c r="E67" s="4">
        <v>9.19</v>
      </c>
      <c r="F67" t="s">
        <v>15</v>
      </c>
      <c r="G67" s="4" t="s">
        <v>27</v>
      </c>
      <c r="H67" s="3">
        <v>232</v>
      </c>
      <c r="I67" s="4" t="s">
        <v>20</v>
      </c>
      <c r="J67" s="4" t="s">
        <v>8</v>
      </c>
      <c r="K67" s="4">
        <v>49.38</v>
      </c>
      <c r="L67" s="4">
        <v>43.61</v>
      </c>
    </row>
    <row r="68" spans="1:12" x14ac:dyDescent="0.2">
      <c r="A68" s="3">
        <v>124</v>
      </c>
      <c r="B68" s="4" t="s">
        <v>20</v>
      </c>
      <c r="C68" s="4" t="s">
        <v>9</v>
      </c>
      <c r="D68" s="4">
        <v>0</v>
      </c>
      <c r="E68" s="4">
        <v>0</v>
      </c>
      <c r="F68" t="s">
        <v>15</v>
      </c>
      <c r="G68" s="4" t="s">
        <v>27</v>
      </c>
      <c r="H68" s="3">
        <v>232</v>
      </c>
      <c r="I68" s="4" t="s">
        <v>20</v>
      </c>
      <c r="J68" s="4" t="s">
        <v>9</v>
      </c>
      <c r="K68" s="4">
        <v>0</v>
      </c>
      <c r="L68" s="4">
        <v>0</v>
      </c>
    </row>
    <row r="69" spans="1:12" x14ac:dyDescent="0.2">
      <c r="A69" s="3">
        <v>124</v>
      </c>
      <c r="B69" s="4" t="s">
        <v>20</v>
      </c>
      <c r="C69" s="4" t="s">
        <v>10</v>
      </c>
      <c r="D69" s="4">
        <v>0.05</v>
      </c>
      <c r="E69" s="4">
        <v>0.01</v>
      </c>
      <c r="F69" t="s">
        <v>15</v>
      </c>
      <c r="G69" s="4" t="s">
        <v>27</v>
      </c>
      <c r="H69" s="3">
        <v>232</v>
      </c>
      <c r="I69" s="4" t="s">
        <v>20</v>
      </c>
      <c r="J69" s="4" t="s">
        <v>10</v>
      </c>
      <c r="K69" s="4">
        <v>0.04</v>
      </c>
      <c r="L69" s="4">
        <v>0.06</v>
      </c>
    </row>
    <row r="70" spans="1:12" x14ac:dyDescent="0.2">
      <c r="A70" s="3">
        <v>124</v>
      </c>
      <c r="B70" s="4" t="s">
        <v>20</v>
      </c>
      <c r="C70" s="4" t="s">
        <v>11</v>
      </c>
      <c r="D70" s="4">
        <v>0</v>
      </c>
      <c r="E70" s="4">
        <v>0</v>
      </c>
      <c r="F70" t="s">
        <v>15</v>
      </c>
      <c r="G70" s="4" t="s">
        <v>27</v>
      </c>
      <c r="H70" s="3">
        <v>232</v>
      </c>
      <c r="I70" s="4" t="s">
        <v>20</v>
      </c>
      <c r="J70" s="4" t="s">
        <v>11</v>
      </c>
      <c r="K70" s="4">
        <v>0</v>
      </c>
      <c r="L70" s="4">
        <v>0</v>
      </c>
    </row>
    <row r="71" spans="1:12" x14ac:dyDescent="0.2">
      <c r="A71" s="3">
        <v>124</v>
      </c>
      <c r="B71" s="4" t="s">
        <v>20</v>
      </c>
      <c r="C71" s="4" t="s">
        <v>12</v>
      </c>
      <c r="D71" s="4">
        <v>48.85</v>
      </c>
      <c r="E71" s="4">
        <v>31.64</v>
      </c>
      <c r="F71" t="s">
        <v>15</v>
      </c>
      <c r="G71" s="4" t="s">
        <v>27</v>
      </c>
      <c r="H71" s="3">
        <v>232</v>
      </c>
      <c r="I71" s="4" t="s">
        <v>20</v>
      </c>
      <c r="J71" s="4" t="s">
        <v>12</v>
      </c>
      <c r="K71" s="4">
        <v>13</v>
      </c>
      <c r="L71" s="4">
        <v>24.56</v>
      </c>
    </row>
    <row r="72" spans="1:12" x14ac:dyDescent="0.2">
      <c r="A72" s="3">
        <v>126</v>
      </c>
      <c r="B72" s="4" t="s">
        <v>20</v>
      </c>
      <c r="C72" s="4" t="s">
        <v>6</v>
      </c>
      <c r="D72" s="4">
        <v>47.36</v>
      </c>
      <c r="E72" s="4">
        <v>68.3</v>
      </c>
      <c r="F72" t="s">
        <v>15</v>
      </c>
      <c r="G72" s="4" t="s">
        <v>10</v>
      </c>
      <c r="H72" s="3">
        <v>234</v>
      </c>
      <c r="I72" s="4" t="s">
        <v>20</v>
      </c>
      <c r="J72" s="4" t="s">
        <v>6</v>
      </c>
      <c r="K72" s="4">
        <v>86.75</v>
      </c>
      <c r="L72" s="4">
        <v>75.5</v>
      </c>
    </row>
    <row r="73" spans="1:12" x14ac:dyDescent="0.2">
      <c r="A73" s="3">
        <v>126</v>
      </c>
      <c r="B73" s="4" t="s">
        <v>20</v>
      </c>
      <c r="C73" s="4" t="s">
        <v>7</v>
      </c>
      <c r="D73" s="4">
        <v>0</v>
      </c>
      <c r="E73" s="4">
        <v>0</v>
      </c>
      <c r="F73" t="s">
        <v>15</v>
      </c>
      <c r="G73" s="4" t="s">
        <v>10</v>
      </c>
      <c r="H73" s="3">
        <v>234</v>
      </c>
      <c r="I73" s="4" t="s">
        <v>20</v>
      </c>
      <c r="J73" s="4" t="s">
        <v>7</v>
      </c>
      <c r="K73" s="4">
        <v>0</v>
      </c>
      <c r="L73" s="4">
        <v>0</v>
      </c>
    </row>
    <row r="74" spans="1:12" x14ac:dyDescent="0.2">
      <c r="A74" s="3">
        <v>126</v>
      </c>
      <c r="B74" s="4" t="s">
        <v>20</v>
      </c>
      <c r="C74" s="4" t="s">
        <v>8</v>
      </c>
      <c r="D74" s="4">
        <v>0.03</v>
      </c>
      <c r="E74" s="4">
        <v>0</v>
      </c>
      <c r="F74" t="s">
        <v>15</v>
      </c>
      <c r="G74" s="4" t="s">
        <v>10</v>
      </c>
      <c r="H74" s="3">
        <v>234</v>
      </c>
      <c r="I74" s="4" t="s">
        <v>20</v>
      </c>
      <c r="J74" s="4" t="s">
        <v>8</v>
      </c>
      <c r="K74" s="4">
        <v>0</v>
      </c>
      <c r="L74" s="4">
        <v>0</v>
      </c>
    </row>
    <row r="75" spans="1:12" x14ac:dyDescent="0.2">
      <c r="A75" s="3">
        <v>126</v>
      </c>
      <c r="B75" s="4" t="s">
        <v>20</v>
      </c>
      <c r="C75" s="4" t="s">
        <v>9</v>
      </c>
      <c r="D75" s="4">
        <v>0</v>
      </c>
      <c r="E75" s="4">
        <v>0</v>
      </c>
      <c r="F75" t="s">
        <v>15</v>
      </c>
      <c r="G75" s="4" t="s">
        <v>10</v>
      </c>
      <c r="H75" s="3">
        <v>234</v>
      </c>
      <c r="I75" s="4" t="s">
        <v>20</v>
      </c>
      <c r="J75" s="4" t="s">
        <v>9</v>
      </c>
      <c r="K75" s="4">
        <v>0</v>
      </c>
      <c r="L75" s="4">
        <v>0</v>
      </c>
    </row>
    <row r="76" spans="1:12" x14ac:dyDescent="0.2">
      <c r="A76" s="3">
        <v>126</v>
      </c>
      <c r="B76" s="4" t="s">
        <v>20</v>
      </c>
      <c r="C76" s="4" t="s">
        <v>10</v>
      </c>
      <c r="D76" s="4">
        <v>0.05</v>
      </c>
      <c r="E76" s="4">
        <v>0.03</v>
      </c>
      <c r="F76" t="s">
        <v>15</v>
      </c>
      <c r="G76" s="4" t="s">
        <v>10</v>
      </c>
      <c r="H76" s="3">
        <v>234</v>
      </c>
      <c r="I76" s="4" t="s">
        <v>20</v>
      </c>
      <c r="J76" s="4" t="s">
        <v>10</v>
      </c>
      <c r="K76" s="4">
        <v>0.04</v>
      </c>
      <c r="L76" s="4">
        <v>0.09</v>
      </c>
    </row>
    <row r="77" spans="1:12" x14ac:dyDescent="0.2">
      <c r="A77" s="3">
        <v>126</v>
      </c>
      <c r="B77" s="4" t="s">
        <v>20</v>
      </c>
      <c r="C77" s="4" t="s">
        <v>11</v>
      </c>
      <c r="D77" s="4">
        <v>0</v>
      </c>
      <c r="E77" s="4">
        <v>0</v>
      </c>
      <c r="F77" t="s">
        <v>15</v>
      </c>
      <c r="G77" s="4" t="s">
        <v>10</v>
      </c>
      <c r="H77" s="3">
        <v>234</v>
      </c>
      <c r="I77" s="4" t="s">
        <v>20</v>
      </c>
      <c r="J77" s="4" t="s">
        <v>11</v>
      </c>
      <c r="K77" s="4">
        <v>0</v>
      </c>
      <c r="L77" s="4">
        <v>0</v>
      </c>
    </row>
    <row r="78" spans="1:12" x14ac:dyDescent="0.2">
      <c r="A78" s="3">
        <v>126</v>
      </c>
      <c r="B78" s="4" t="s">
        <v>20</v>
      </c>
      <c r="C78" s="4" t="s">
        <v>12</v>
      </c>
      <c r="D78" s="4">
        <v>52.56</v>
      </c>
      <c r="E78" s="4">
        <v>31.68</v>
      </c>
      <c r="F78" t="s">
        <v>15</v>
      </c>
      <c r="G78" s="4" t="s">
        <v>10</v>
      </c>
      <c r="H78" s="3">
        <v>234</v>
      </c>
      <c r="I78" s="4" t="s">
        <v>20</v>
      </c>
      <c r="J78" s="4" t="s">
        <v>12</v>
      </c>
      <c r="K78" s="4">
        <v>13.21</v>
      </c>
      <c r="L78" s="4">
        <v>24.41</v>
      </c>
    </row>
    <row r="79" spans="1:12" x14ac:dyDescent="0.2">
      <c r="A79" s="3">
        <v>159</v>
      </c>
      <c r="B79" s="4" t="s">
        <v>20</v>
      </c>
      <c r="C79" s="4" t="s">
        <v>6</v>
      </c>
      <c r="D79" s="4">
        <v>0.69</v>
      </c>
      <c r="E79" s="4">
        <v>0.01</v>
      </c>
      <c r="F79" t="s">
        <v>15</v>
      </c>
      <c r="G79" s="4" t="s">
        <v>7</v>
      </c>
      <c r="H79" s="3">
        <v>267</v>
      </c>
      <c r="I79" s="4" t="s">
        <v>20</v>
      </c>
      <c r="J79" s="4" t="s">
        <v>6</v>
      </c>
      <c r="K79" s="4">
        <v>0.48</v>
      </c>
      <c r="L79" s="4">
        <v>0.57999999999999996</v>
      </c>
    </row>
    <row r="80" spans="1:12" x14ac:dyDescent="0.2">
      <c r="A80" s="3">
        <v>159</v>
      </c>
      <c r="B80" s="4" t="s">
        <v>20</v>
      </c>
      <c r="C80" s="4" t="s">
        <v>7</v>
      </c>
      <c r="D80" s="4">
        <v>79.760000000000005</v>
      </c>
      <c r="E80" s="4">
        <v>99.6</v>
      </c>
      <c r="F80" t="s">
        <v>15</v>
      </c>
      <c r="G80" s="4" t="s">
        <v>7</v>
      </c>
      <c r="H80" s="3">
        <v>267</v>
      </c>
      <c r="I80" s="4" t="s">
        <v>20</v>
      </c>
      <c r="J80" s="4" t="s">
        <v>7</v>
      </c>
      <c r="K80" s="4">
        <v>94.65</v>
      </c>
      <c r="L80" s="4">
        <v>89.3</v>
      </c>
    </row>
    <row r="81" spans="1:12" x14ac:dyDescent="0.2">
      <c r="A81" s="3">
        <v>159</v>
      </c>
      <c r="B81" s="4" t="s">
        <v>20</v>
      </c>
      <c r="C81" s="4" t="s">
        <v>8</v>
      </c>
      <c r="D81" s="4">
        <v>0.03</v>
      </c>
      <c r="E81" s="4">
        <v>0.01</v>
      </c>
      <c r="F81" t="s">
        <v>15</v>
      </c>
      <c r="G81" s="4" t="s">
        <v>7</v>
      </c>
      <c r="H81" s="3">
        <v>267</v>
      </c>
      <c r="I81" s="4" t="s">
        <v>20</v>
      </c>
      <c r="J81" s="4" t="s">
        <v>8</v>
      </c>
      <c r="K81" s="4">
        <v>0</v>
      </c>
      <c r="L81" s="4">
        <v>0.01</v>
      </c>
    </row>
    <row r="82" spans="1:12" x14ac:dyDescent="0.2">
      <c r="A82" s="3">
        <v>159</v>
      </c>
      <c r="B82" s="4" t="s">
        <v>20</v>
      </c>
      <c r="C82" s="4" t="s">
        <v>9</v>
      </c>
      <c r="D82" s="4">
        <v>0</v>
      </c>
      <c r="E82" s="4">
        <v>0</v>
      </c>
      <c r="F82" t="s">
        <v>15</v>
      </c>
      <c r="G82" s="4" t="s">
        <v>7</v>
      </c>
      <c r="H82" s="3">
        <v>267</v>
      </c>
      <c r="I82" s="4" t="s">
        <v>20</v>
      </c>
      <c r="J82" s="4" t="s">
        <v>9</v>
      </c>
      <c r="K82" s="4">
        <v>0</v>
      </c>
      <c r="L82" s="4">
        <v>0</v>
      </c>
    </row>
    <row r="83" spans="1:12" x14ac:dyDescent="0.2">
      <c r="A83" s="3">
        <v>159</v>
      </c>
      <c r="B83" s="4" t="s">
        <v>20</v>
      </c>
      <c r="C83" s="4" t="s">
        <v>10</v>
      </c>
      <c r="D83" s="4">
        <v>0</v>
      </c>
      <c r="E83" s="4">
        <v>0</v>
      </c>
      <c r="F83" t="s">
        <v>15</v>
      </c>
      <c r="G83" s="4" t="s">
        <v>7</v>
      </c>
      <c r="H83" s="3">
        <v>267</v>
      </c>
      <c r="I83" s="4" t="s">
        <v>20</v>
      </c>
      <c r="J83" s="4" t="s">
        <v>10</v>
      </c>
      <c r="K83" s="4">
        <v>0</v>
      </c>
      <c r="L83" s="4">
        <v>0</v>
      </c>
    </row>
    <row r="84" spans="1:12" x14ac:dyDescent="0.2">
      <c r="A84" s="3">
        <v>159</v>
      </c>
      <c r="B84" s="4" t="s">
        <v>20</v>
      </c>
      <c r="C84" s="4" t="s">
        <v>11</v>
      </c>
      <c r="D84" s="4">
        <v>0</v>
      </c>
      <c r="E84" s="4">
        <v>0</v>
      </c>
      <c r="F84" t="s">
        <v>15</v>
      </c>
      <c r="G84" s="4" t="s">
        <v>7</v>
      </c>
      <c r="H84" s="3">
        <v>267</v>
      </c>
      <c r="I84" s="4" t="s">
        <v>20</v>
      </c>
      <c r="J84" s="4" t="s">
        <v>11</v>
      </c>
      <c r="K84" s="4">
        <v>0</v>
      </c>
      <c r="L84" s="4">
        <v>0</v>
      </c>
    </row>
    <row r="85" spans="1:12" x14ac:dyDescent="0.2">
      <c r="A85" s="3">
        <v>159</v>
      </c>
      <c r="B85" s="4" t="s">
        <v>20</v>
      </c>
      <c r="C85" s="4" t="s">
        <v>12</v>
      </c>
      <c r="D85" s="4">
        <v>19.52</v>
      </c>
      <c r="E85" s="4">
        <v>0.38</v>
      </c>
      <c r="F85" t="s">
        <v>15</v>
      </c>
      <c r="G85" s="4" t="s">
        <v>7</v>
      </c>
      <c r="H85" s="3">
        <v>267</v>
      </c>
      <c r="I85" s="4" t="s">
        <v>20</v>
      </c>
      <c r="J85" s="4" t="s">
        <v>12</v>
      </c>
      <c r="K85" s="4">
        <v>4.87</v>
      </c>
      <c r="L85" s="4">
        <v>10.11</v>
      </c>
    </row>
    <row r="86" spans="1:12" x14ac:dyDescent="0.2">
      <c r="A86" s="3">
        <v>311</v>
      </c>
      <c r="B86" s="4" t="s">
        <v>20</v>
      </c>
      <c r="C86" s="4" t="s">
        <v>6</v>
      </c>
      <c r="D86" s="4">
        <v>74.8</v>
      </c>
      <c r="E86" s="4">
        <v>94.08</v>
      </c>
      <c r="F86" t="s">
        <v>18</v>
      </c>
      <c r="G86" s="4" t="s">
        <v>24</v>
      </c>
      <c r="H86" s="3">
        <v>419</v>
      </c>
      <c r="I86" s="4" t="s">
        <v>20</v>
      </c>
      <c r="J86" s="4" t="s">
        <v>6</v>
      </c>
      <c r="K86" s="4">
        <v>4.32</v>
      </c>
      <c r="L86" s="4">
        <v>3.44</v>
      </c>
    </row>
    <row r="87" spans="1:12" x14ac:dyDescent="0.2">
      <c r="A87" s="3">
        <v>311</v>
      </c>
      <c r="B87" s="4" t="s">
        <v>20</v>
      </c>
      <c r="C87" s="4" t="s">
        <v>7</v>
      </c>
      <c r="D87" s="4">
        <v>0</v>
      </c>
      <c r="E87" s="4">
        <v>0</v>
      </c>
      <c r="F87" t="s">
        <v>18</v>
      </c>
      <c r="G87" s="4" t="s">
        <v>24</v>
      </c>
      <c r="H87" s="3">
        <v>419</v>
      </c>
      <c r="I87" s="4" t="s">
        <v>20</v>
      </c>
      <c r="J87" s="4" t="s">
        <v>7</v>
      </c>
      <c r="K87" s="4">
        <v>0</v>
      </c>
      <c r="L87" s="4">
        <v>0</v>
      </c>
    </row>
    <row r="88" spans="1:12" x14ac:dyDescent="0.2">
      <c r="A88" s="3">
        <v>311</v>
      </c>
      <c r="B88" s="4" t="s">
        <v>20</v>
      </c>
      <c r="C88" s="4" t="s">
        <v>8</v>
      </c>
      <c r="D88" s="4">
        <v>0</v>
      </c>
      <c r="E88" s="4">
        <v>0</v>
      </c>
      <c r="F88" t="s">
        <v>18</v>
      </c>
      <c r="G88" s="4" t="s">
        <v>24</v>
      </c>
      <c r="H88" s="3">
        <v>419</v>
      </c>
      <c r="I88" s="4" t="s">
        <v>20</v>
      </c>
      <c r="J88" s="4" t="s">
        <v>8</v>
      </c>
      <c r="K88" s="4">
        <v>0</v>
      </c>
      <c r="L88" s="4">
        <v>0</v>
      </c>
    </row>
    <row r="89" spans="1:12" x14ac:dyDescent="0.2">
      <c r="A89" s="3">
        <v>311</v>
      </c>
      <c r="B89" s="4" t="s">
        <v>20</v>
      </c>
      <c r="C89" s="4" t="s">
        <v>9</v>
      </c>
      <c r="D89" s="4">
        <v>20.43</v>
      </c>
      <c r="E89" s="4">
        <v>5.26</v>
      </c>
      <c r="F89" t="s">
        <v>18</v>
      </c>
      <c r="G89" s="4" t="s">
        <v>24</v>
      </c>
      <c r="H89" s="3">
        <v>419</v>
      </c>
      <c r="I89" s="4" t="s">
        <v>20</v>
      </c>
      <c r="J89" s="4" t="s">
        <v>9</v>
      </c>
      <c r="K89" s="4">
        <v>92.3</v>
      </c>
      <c r="L89" s="4">
        <v>92.92</v>
      </c>
    </row>
    <row r="90" spans="1:12" x14ac:dyDescent="0.2">
      <c r="A90" s="3">
        <v>311</v>
      </c>
      <c r="B90" s="4" t="s">
        <v>20</v>
      </c>
      <c r="C90" s="4" t="s">
        <v>10</v>
      </c>
      <c r="D90" s="4">
        <v>4.74</v>
      </c>
      <c r="E90" s="4">
        <v>0.66</v>
      </c>
      <c r="F90" t="s">
        <v>18</v>
      </c>
      <c r="G90" s="4" t="s">
        <v>24</v>
      </c>
      <c r="H90" s="3">
        <v>419</v>
      </c>
      <c r="I90" s="4" t="s">
        <v>20</v>
      </c>
      <c r="J90" s="4" t="s">
        <v>10</v>
      </c>
      <c r="K90" s="4">
        <v>3.38</v>
      </c>
      <c r="L90" s="4">
        <v>3.63</v>
      </c>
    </row>
    <row r="91" spans="1:12" x14ac:dyDescent="0.2">
      <c r="A91" s="3">
        <v>311</v>
      </c>
      <c r="B91" s="4" t="s">
        <v>20</v>
      </c>
      <c r="C91" s="4" t="s">
        <v>11</v>
      </c>
      <c r="D91" s="4">
        <v>0</v>
      </c>
      <c r="E91" s="4">
        <v>0</v>
      </c>
      <c r="F91" t="s">
        <v>18</v>
      </c>
      <c r="G91" s="4" t="s">
        <v>24</v>
      </c>
      <c r="H91" s="3">
        <v>419</v>
      </c>
      <c r="I91" s="4" t="s">
        <v>20</v>
      </c>
      <c r="J91" s="4" t="s">
        <v>11</v>
      </c>
      <c r="K91" s="4">
        <v>0</v>
      </c>
      <c r="L91" s="4">
        <v>0</v>
      </c>
    </row>
    <row r="92" spans="1:12" x14ac:dyDescent="0.2">
      <c r="A92" s="3">
        <v>311</v>
      </c>
      <c r="B92" s="4" t="s">
        <v>20</v>
      </c>
      <c r="C92" s="4" t="s">
        <v>12</v>
      </c>
      <c r="D92" s="4">
        <v>0.04</v>
      </c>
      <c r="E92" s="4">
        <v>0</v>
      </c>
      <c r="F92" t="s">
        <v>18</v>
      </c>
      <c r="G92" s="4" t="s">
        <v>24</v>
      </c>
      <c r="H92" s="3">
        <v>419</v>
      </c>
      <c r="I92" s="4" t="s">
        <v>20</v>
      </c>
      <c r="J92" s="4" t="s">
        <v>12</v>
      </c>
      <c r="K92" s="4">
        <v>0</v>
      </c>
      <c r="L92" s="4">
        <v>0.01</v>
      </c>
    </row>
    <row r="93" spans="1:12" x14ac:dyDescent="0.2">
      <c r="A93" s="3">
        <v>312</v>
      </c>
      <c r="B93" s="4" t="s">
        <v>20</v>
      </c>
      <c r="C93" s="4" t="s">
        <v>6</v>
      </c>
      <c r="D93" s="4">
        <v>74.989999999999995</v>
      </c>
      <c r="E93" s="4">
        <v>94.08</v>
      </c>
      <c r="F93" t="s">
        <v>18</v>
      </c>
      <c r="G93" s="4" t="s">
        <v>25</v>
      </c>
      <c r="H93" s="5" t="s">
        <v>33</v>
      </c>
    </row>
    <row r="94" spans="1:12" x14ac:dyDescent="0.2">
      <c r="A94" s="3">
        <v>312</v>
      </c>
      <c r="B94" s="4" t="s">
        <v>20</v>
      </c>
      <c r="C94" s="4" t="s">
        <v>7</v>
      </c>
      <c r="D94" s="4">
        <v>0</v>
      </c>
      <c r="E94" s="4">
        <v>0</v>
      </c>
      <c r="F94" t="s">
        <v>18</v>
      </c>
      <c r="G94" s="4" t="s">
        <v>25</v>
      </c>
      <c r="H94" s="5"/>
    </row>
    <row r="95" spans="1:12" x14ac:dyDescent="0.2">
      <c r="A95" s="3">
        <v>312</v>
      </c>
      <c r="B95" s="4" t="s">
        <v>20</v>
      </c>
      <c r="C95" s="4" t="s">
        <v>8</v>
      </c>
      <c r="D95" s="4">
        <v>0</v>
      </c>
      <c r="E95" s="4">
        <v>0</v>
      </c>
      <c r="F95" t="s">
        <v>18</v>
      </c>
      <c r="G95" s="4" t="s">
        <v>25</v>
      </c>
      <c r="H95" s="5"/>
    </row>
    <row r="96" spans="1:12" x14ac:dyDescent="0.2">
      <c r="A96" s="3">
        <v>312</v>
      </c>
      <c r="B96" s="4" t="s">
        <v>20</v>
      </c>
      <c r="C96" s="4" t="s">
        <v>9</v>
      </c>
      <c r="D96" s="4">
        <v>3.16</v>
      </c>
      <c r="E96" s="4">
        <v>0.3</v>
      </c>
      <c r="F96" t="s">
        <v>18</v>
      </c>
      <c r="G96" s="4" t="s">
        <v>25</v>
      </c>
      <c r="H96" s="5"/>
    </row>
    <row r="97" spans="1:12" x14ac:dyDescent="0.2">
      <c r="A97" s="3">
        <v>312</v>
      </c>
      <c r="B97" s="4" t="s">
        <v>20</v>
      </c>
      <c r="C97" s="4" t="s">
        <v>10</v>
      </c>
      <c r="D97" s="4">
        <v>4.5999999999999996</v>
      </c>
      <c r="E97" s="4">
        <v>0.66</v>
      </c>
      <c r="F97" t="s">
        <v>18</v>
      </c>
      <c r="G97" s="4" t="s">
        <v>25</v>
      </c>
      <c r="H97" s="5"/>
    </row>
    <row r="98" spans="1:12" x14ac:dyDescent="0.2">
      <c r="A98" s="3">
        <v>312</v>
      </c>
      <c r="B98" s="4" t="s">
        <v>20</v>
      </c>
      <c r="C98" s="4" t="s">
        <v>11</v>
      </c>
      <c r="D98" s="4">
        <v>0</v>
      </c>
      <c r="E98" s="4">
        <v>0</v>
      </c>
      <c r="F98" t="s">
        <v>18</v>
      </c>
      <c r="G98" s="4" t="s">
        <v>25</v>
      </c>
      <c r="H98" s="5"/>
    </row>
    <row r="99" spans="1:12" x14ac:dyDescent="0.2">
      <c r="A99" s="3">
        <v>312</v>
      </c>
      <c r="B99" s="4" t="s">
        <v>20</v>
      </c>
      <c r="C99" s="4" t="s">
        <v>12</v>
      </c>
      <c r="D99" s="4">
        <v>17.25</v>
      </c>
      <c r="E99" s="4">
        <v>4.96</v>
      </c>
      <c r="F99" t="s">
        <v>18</v>
      </c>
      <c r="G99" s="4" t="s">
        <v>25</v>
      </c>
      <c r="H99" s="5"/>
    </row>
    <row r="100" spans="1:12" s="11" customFormat="1" x14ac:dyDescent="0.2">
      <c r="A100" s="9">
        <v>125</v>
      </c>
      <c r="B100" s="10" t="s">
        <v>20</v>
      </c>
      <c r="C100" s="10" t="s">
        <v>6</v>
      </c>
      <c r="D100" s="10">
        <v>50.96</v>
      </c>
      <c r="E100" s="10">
        <v>68.3</v>
      </c>
      <c r="F100" s="11" t="s">
        <v>15</v>
      </c>
      <c r="G100" s="10" t="s">
        <v>28</v>
      </c>
      <c r="H100" s="9">
        <v>233</v>
      </c>
      <c r="I100" s="10" t="s">
        <v>20</v>
      </c>
      <c r="J100" s="10" t="s">
        <v>6</v>
      </c>
      <c r="K100" s="10">
        <v>86.74</v>
      </c>
      <c r="L100" s="10">
        <v>75.59</v>
      </c>
    </row>
    <row r="101" spans="1:12" s="11" customFormat="1" x14ac:dyDescent="0.2">
      <c r="A101" s="9">
        <v>125</v>
      </c>
      <c r="B101" s="10" t="s">
        <v>20</v>
      </c>
      <c r="C101" s="10" t="s">
        <v>7</v>
      </c>
      <c r="D101" s="10">
        <v>0</v>
      </c>
      <c r="E101" s="10">
        <v>0</v>
      </c>
      <c r="F101" s="11" t="s">
        <v>15</v>
      </c>
      <c r="G101" s="10" t="s">
        <v>28</v>
      </c>
      <c r="H101" s="9">
        <v>233</v>
      </c>
      <c r="I101" s="10" t="s">
        <v>20</v>
      </c>
      <c r="J101" s="10" t="s">
        <v>7</v>
      </c>
      <c r="K101" s="10">
        <v>0</v>
      </c>
      <c r="L101" s="10">
        <v>0</v>
      </c>
    </row>
    <row r="102" spans="1:12" s="11" customFormat="1" x14ac:dyDescent="0.2">
      <c r="A102" s="9">
        <v>125</v>
      </c>
      <c r="B102" s="10" t="s">
        <v>20</v>
      </c>
      <c r="C102" s="10" t="s">
        <v>8</v>
      </c>
      <c r="D102" s="10">
        <v>0</v>
      </c>
      <c r="E102" s="10">
        <v>0</v>
      </c>
      <c r="F102" s="11" t="s">
        <v>15</v>
      </c>
      <c r="G102" s="10" t="s">
        <v>28</v>
      </c>
      <c r="H102" s="9">
        <v>233</v>
      </c>
      <c r="I102" s="10" t="s">
        <v>20</v>
      </c>
      <c r="J102" s="10" t="s">
        <v>8</v>
      </c>
      <c r="K102" s="10">
        <v>0</v>
      </c>
      <c r="L102" s="10">
        <v>0.01</v>
      </c>
    </row>
    <row r="103" spans="1:12" s="11" customFormat="1" x14ac:dyDescent="0.2">
      <c r="A103" s="9">
        <v>125</v>
      </c>
      <c r="B103" s="10" t="s">
        <v>20</v>
      </c>
      <c r="C103" s="10" t="s">
        <v>9</v>
      </c>
      <c r="D103" s="10">
        <v>0</v>
      </c>
      <c r="E103" s="10">
        <v>0</v>
      </c>
      <c r="F103" s="11" t="s">
        <v>15</v>
      </c>
      <c r="G103" s="10" t="s">
        <v>28</v>
      </c>
      <c r="H103" s="9">
        <v>233</v>
      </c>
      <c r="I103" s="10" t="s">
        <v>20</v>
      </c>
      <c r="J103" s="10" t="s">
        <v>9</v>
      </c>
      <c r="K103" s="10">
        <v>0</v>
      </c>
      <c r="L103" s="10">
        <v>0</v>
      </c>
    </row>
    <row r="104" spans="1:12" s="11" customFormat="1" x14ac:dyDescent="0.2">
      <c r="A104" s="9">
        <v>125</v>
      </c>
      <c r="B104" s="10" t="s">
        <v>20</v>
      </c>
      <c r="C104" s="10" t="s">
        <v>10</v>
      </c>
      <c r="D104" s="10">
        <v>0.05</v>
      </c>
      <c r="E104" s="10">
        <v>0.03</v>
      </c>
      <c r="F104" s="11" t="s">
        <v>15</v>
      </c>
      <c r="G104" s="10" t="s">
        <v>28</v>
      </c>
      <c r="H104" s="9">
        <v>233</v>
      </c>
      <c r="I104" s="10" t="s">
        <v>20</v>
      </c>
      <c r="J104" s="10" t="s">
        <v>10</v>
      </c>
      <c r="K104" s="10">
        <v>0.04</v>
      </c>
      <c r="L104" s="10">
        <v>0.09</v>
      </c>
    </row>
    <row r="105" spans="1:12" s="11" customFormat="1" x14ac:dyDescent="0.2">
      <c r="A105" s="9">
        <v>125</v>
      </c>
      <c r="B105" s="10" t="s">
        <v>20</v>
      </c>
      <c r="C105" s="10" t="s">
        <v>11</v>
      </c>
      <c r="D105" s="10">
        <v>0</v>
      </c>
      <c r="E105" s="10">
        <v>0</v>
      </c>
      <c r="F105" s="11" t="s">
        <v>15</v>
      </c>
      <c r="G105" s="10" t="s">
        <v>28</v>
      </c>
      <c r="H105" s="9">
        <v>233</v>
      </c>
      <c r="I105" s="10" t="s">
        <v>20</v>
      </c>
      <c r="J105" s="10" t="s">
        <v>11</v>
      </c>
      <c r="K105" s="10">
        <v>0</v>
      </c>
      <c r="L105" s="10">
        <v>0</v>
      </c>
    </row>
    <row r="106" spans="1:12" s="11" customFormat="1" x14ac:dyDescent="0.2">
      <c r="A106" s="9">
        <v>125</v>
      </c>
      <c r="B106" s="10" t="s">
        <v>20</v>
      </c>
      <c r="C106" s="10" t="s">
        <v>12</v>
      </c>
      <c r="D106" s="10">
        <v>48.99</v>
      </c>
      <c r="E106" s="10">
        <v>31.67</v>
      </c>
      <c r="F106" s="11" t="s">
        <v>15</v>
      </c>
      <c r="G106" s="10" t="s">
        <v>28</v>
      </c>
      <c r="H106" s="9">
        <v>233</v>
      </c>
      <c r="I106" s="10" t="s">
        <v>20</v>
      </c>
      <c r="J106" s="10" t="s">
        <v>12</v>
      </c>
      <c r="K106" s="10">
        <v>13.22</v>
      </c>
      <c r="L106" s="10">
        <v>24.31</v>
      </c>
    </row>
    <row r="107" spans="1:12" x14ac:dyDescent="0.2">
      <c r="A107" s="3">
        <v>305</v>
      </c>
      <c r="B107" s="4" t="s">
        <v>20</v>
      </c>
      <c r="C107" s="4" t="s">
        <v>6</v>
      </c>
      <c r="D107" s="4">
        <v>6.53</v>
      </c>
      <c r="E107" s="4">
        <v>2.5099999999999998</v>
      </c>
      <c r="F107" t="s">
        <v>16</v>
      </c>
      <c r="G107" s="4" t="s">
        <v>23</v>
      </c>
      <c r="H107" s="3">
        <v>413</v>
      </c>
      <c r="I107" s="4" t="s">
        <v>13</v>
      </c>
      <c r="J107" s="4" t="s">
        <v>6</v>
      </c>
      <c r="K107" s="4">
        <v>4.12</v>
      </c>
      <c r="L107" s="4">
        <v>6.25</v>
      </c>
    </row>
    <row r="108" spans="1:12" x14ac:dyDescent="0.2">
      <c r="A108" s="3">
        <v>305</v>
      </c>
      <c r="B108" s="4" t="s">
        <v>20</v>
      </c>
      <c r="C108" s="4" t="s">
        <v>7</v>
      </c>
      <c r="D108" s="4">
        <v>0</v>
      </c>
      <c r="E108" s="4">
        <v>0</v>
      </c>
      <c r="F108" t="s">
        <v>16</v>
      </c>
      <c r="G108" s="4" t="s">
        <v>23</v>
      </c>
      <c r="H108" s="3">
        <v>413</v>
      </c>
      <c r="I108" s="4" t="s">
        <v>13</v>
      </c>
      <c r="J108" s="4" t="s">
        <v>7</v>
      </c>
      <c r="K108" s="4">
        <v>0</v>
      </c>
      <c r="L108" s="4">
        <v>0.55000000000000004</v>
      </c>
    </row>
    <row r="109" spans="1:12" x14ac:dyDescent="0.2">
      <c r="A109" s="3">
        <v>305</v>
      </c>
      <c r="B109" s="4" t="s">
        <v>20</v>
      </c>
      <c r="C109" s="4" t="s">
        <v>8</v>
      </c>
      <c r="D109" s="4">
        <v>0</v>
      </c>
      <c r="E109" s="4">
        <v>0</v>
      </c>
      <c r="F109" t="s">
        <v>16</v>
      </c>
      <c r="G109" s="4" t="s">
        <v>23</v>
      </c>
      <c r="H109" s="3">
        <v>413</v>
      </c>
      <c r="I109" s="4" t="s">
        <v>13</v>
      </c>
      <c r="J109" s="4" t="s">
        <v>8</v>
      </c>
      <c r="K109" s="4">
        <v>25.45</v>
      </c>
      <c r="L109" s="4">
        <v>34.5</v>
      </c>
    </row>
    <row r="110" spans="1:12" x14ac:dyDescent="0.2">
      <c r="A110" s="3">
        <v>305</v>
      </c>
      <c r="B110" s="4" t="s">
        <v>20</v>
      </c>
      <c r="C110" s="4" t="s">
        <v>9</v>
      </c>
      <c r="D110" s="4">
        <v>10.97</v>
      </c>
      <c r="E110" s="4">
        <v>0.34</v>
      </c>
      <c r="F110" t="s">
        <v>16</v>
      </c>
      <c r="G110" s="4" t="s">
        <v>23</v>
      </c>
      <c r="H110" s="3">
        <v>413</v>
      </c>
      <c r="I110" s="4" t="s">
        <v>13</v>
      </c>
      <c r="J110" s="4" t="s">
        <v>9</v>
      </c>
      <c r="K110" s="4">
        <v>0</v>
      </c>
      <c r="L110" s="4">
        <v>0</v>
      </c>
    </row>
    <row r="111" spans="1:12" x14ac:dyDescent="0.2">
      <c r="A111" s="3">
        <v>305</v>
      </c>
      <c r="B111" s="4" t="s">
        <v>20</v>
      </c>
      <c r="C111" s="4" t="s">
        <v>10</v>
      </c>
      <c r="D111" s="4">
        <v>0</v>
      </c>
      <c r="E111" s="4">
        <v>0</v>
      </c>
      <c r="F111" t="s">
        <v>16</v>
      </c>
      <c r="G111" s="4" t="s">
        <v>23</v>
      </c>
      <c r="H111" s="3">
        <v>413</v>
      </c>
      <c r="I111" s="4" t="s">
        <v>13</v>
      </c>
      <c r="J111" s="4" t="s">
        <v>10</v>
      </c>
      <c r="K111" s="4">
        <v>0</v>
      </c>
      <c r="L111" s="4">
        <v>0</v>
      </c>
    </row>
    <row r="112" spans="1:12" x14ac:dyDescent="0.2">
      <c r="A112" s="3">
        <v>305</v>
      </c>
      <c r="B112" s="4" t="s">
        <v>20</v>
      </c>
      <c r="C112" s="4" t="s">
        <v>11</v>
      </c>
      <c r="D112" s="4">
        <v>0</v>
      </c>
      <c r="E112" s="4">
        <v>0</v>
      </c>
      <c r="F112" t="s">
        <v>16</v>
      </c>
      <c r="G112" s="4" t="s">
        <v>23</v>
      </c>
      <c r="H112" s="3">
        <v>413</v>
      </c>
      <c r="I112" s="4" t="s">
        <v>13</v>
      </c>
      <c r="J112" s="4" t="s">
        <v>11</v>
      </c>
      <c r="K112" s="4">
        <v>0</v>
      </c>
      <c r="L112" s="4">
        <v>0</v>
      </c>
    </row>
    <row r="113" spans="1:12" x14ac:dyDescent="0.2">
      <c r="A113" s="3">
        <v>305</v>
      </c>
      <c r="B113" s="4" t="s">
        <v>20</v>
      </c>
      <c r="C113" s="4" t="s">
        <v>12</v>
      </c>
      <c r="D113" s="4">
        <v>82.5</v>
      </c>
      <c r="E113" s="4">
        <v>97.15</v>
      </c>
      <c r="F113" t="s">
        <v>16</v>
      </c>
      <c r="G113" s="4" t="s">
        <v>23</v>
      </c>
      <c r="H113" s="3">
        <v>413</v>
      </c>
      <c r="I113" s="4" t="s">
        <v>13</v>
      </c>
      <c r="J113" s="4" t="s">
        <v>12</v>
      </c>
      <c r="K113" s="4">
        <v>70.430000000000007</v>
      </c>
      <c r="L113" s="4">
        <v>58.7</v>
      </c>
    </row>
    <row r="114" spans="1:12" x14ac:dyDescent="0.2">
      <c r="A114" s="3">
        <v>106</v>
      </c>
      <c r="B114" s="4" t="s">
        <v>5</v>
      </c>
      <c r="C114" s="4" t="s">
        <v>6</v>
      </c>
      <c r="D114" s="4">
        <v>0</v>
      </c>
      <c r="E114" s="4">
        <v>0.01</v>
      </c>
      <c r="F114" t="s">
        <v>15</v>
      </c>
      <c r="G114" s="4" t="s">
        <v>22</v>
      </c>
      <c r="H114" s="3">
        <v>214</v>
      </c>
      <c r="I114" s="4" t="s">
        <v>5</v>
      </c>
      <c r="J114" s="4" t="s">
        <v>6</v>
      </c>
      <c r="K114" s="4">
        <v>0.01</v>
      </c>
      <c r="L114" s="4">
        <v>0.03</v>
      </c>
    </row>
    <row r="115" spans="1:12" x14ac:dyDescent="0.2">
      <c r="A115" s="3">
        <v>106</v>
      </c>
      <c r="B115" s="4" t="s">
        <v>5</v>
      </c>
      <c r="C115" s="4" t="s">
        <v>7</v>
      </c>
      <c r="D115" s="4">
        <v>31.34</v>
      </c>
      <c r="E115" s="4">
        <v>52.76</v>
      </c>
      <c r="F115" t="s">
        <v>15</v>
      </c>
      <c r="G115" s="4" t="s">
        <v>22</v>
      </c>
      <c r="H115" s="3">
        <v>214</v>
      </c>
      <c r="I115" s="4" t="s">
        <v>5</v>
      </c>
      <c r="J115" s="4" t="s">
        <v>7</v>
      </c>
      <c r="K115" s="4">
        <v>15.55</v>
      </c>
      <c r="L115" s="4">
        <v>11.65</v>
      </c>
    </row>
    <row r="116" spans="1:12" x14ac:dyDescent="0.2">
      <c r="A116" s="3">
        <v>106</v>
      </c>
      <c r="B116" s="4" t="s">
        <v>5</v>
      </c>
      <c r="C116" s="4" t="s">
        <v>8</v>
      </c>
      <c r="D116" s="4">
        <v>0.01</v>
      </c>
      <c r="E116" s="4">
        <v>0.36</v>
      </c>
      <c r="F116" t="s">
        <v>15</v>
      </c>
      <c r="G116" s="4" t="s">
        <v>22</v>
      </c>
      <c r="H116" s="3">
        <v>214</v>
      </c>
      <c r="I116" s="4" t="s">
        <v>5</v>
      </c>
      <c r="J116" s="4" t="s">
        <v>8</v>
      </c>
      <c r="K116" s="4">
        <v>0.02</v>
      </c>
      <c r="L116" s="4">
        <v>0.01</v>
      </c>
    </row>
    <row r="117" spans="1:12" x14ac:dyDescent="0.2">
      <c r="A117" s="3">
        <v>106</v>
      </c>
      <c r="B117" s="4" t="s">
        <v>5</v>
      </c>
      <c r="C117" s="4" t="s">
        <v>9</v>
      </c>
      <c r="D117" s="4">
        <v>0</v>
      </c>
      <c r="E117" s="4">
        <v>0</v>
      </c>
      <c r="F117" t="s">
        <v>15</v>
      </c>
      <c r="G117" s="4" t="s">
        <v>22</v>
      </c>
      <c r="H117" s="3">
        <v>214</v>
      </c>
      <c r="I117" s="4" t="s">
        <v>5</v>
      </c>
      <c r="J117" s="4" t="s">
        <v>9</v>
      </c>
      <c r="K117" s="4">
        <v>0</v>
      </c>
      <c r="L117" s="4">
        <v>0</v>
      </c>
    </row>
    <row r="118" spans="1:12" x14ac:dyDescent="0.2">
      <c r="A118" s="3">
        <v>106</v>
      </c>
      <c r="B118" s="4" t="s">
        <v>5</v>
      </c>
      <c r="C118" s="4" t="s">
        <v>10</v>
      </c>
      <c r="D118" s="4">
        <v>0</v>
      </c>
      <c r="E118" s="4">
        <v>0</v>
      </c>
      <c r="F118" t="s">
        <v>15</v>
      </c>
      <c r="G118" s="4" t="s">
        <v>22</v>
      </c>
      <c r="H118" s="3">
        <v>214</v>
      </c>
      <c r="I118" s="4" t="s">
        <v>5</v>
      </c>
      <c r="J118" s="4" t="s">
        <v>10</v>
      </c>
      <c r="K118" s="4">
        <v>0</v>
      </c>
      <c r="L118" s="4">
        <v>0</v>
      </c>
    </row>
    <row r="119" spans="1:12" x14ac:dyDescent="0.2">
      <c r="A119" s="3">
        <v>106</v>
      </c>
      <c r="B119" s="4" t="s">
        <v>5</v>
      </c>
      <c r="C119" s="4" t="s">
        <v>11</v>
      </c>
      <c r="D119" s="4">
        <v>0</v>
      </c>
      <c r="E119" s="4">
        <v>0</v>
      </c>
      <c r="F119" t="s">
        <v>15</v>
      </c>
      <c r="G119" s="4" t="s">
        <v>22</v>
      </c>
      <c r="H119" s="3">
        <v>214</v>
      </c>
      <c r="I119" s="4" t="s">
        <v>5</v>
      </c>
      <c r="J119" s="4" t="s">
        <v>11</v>
      </c>
      <c r="K119" s="4">
        <v>0</v>
      </c>
      <c r="L119" s="4">
        <v>0</v>
      </c>
    </row>
    <row r="120" spans="1:12" x14ac:dyDescent="0.2">
      <c r="A120" s="3">
        <v>106</v>
      </c>
      <c r="B120" s="4" t="s">
        <v>5</v>
      </c>
      <c r="C120" s="4" t="s">
        <v>12</v>
      </c>
      <c r="D120" s="4">
        <v>68.650000000000006</v>
      </c>
      <c r="E120" s="4">
        <v>46.86</v>
      </c>
      <c r="F120" t="s">
        <v>15</v>
      </c>
      <c r="G120" s="4" t="s">
        <v>22</v>
      </c>
      <c r="H120" s="3">
        <v>214</v>
      </c>
      <c r="I120" s="4" t="s">
        <v>5</v>
      </c>
      <c r="J120" s="4" t="s">
        <v>12</v>
      </c>
      <c r="K120" s="4">
        <v>84.42</v>
      </c>
      <c r="L120" s="4">
        <v>88.32</v>
      </c>
    </row>
    <row r="121" spans="1:12" x14ac:dyDescent="0.2">
      <c r="A121" s="3">
        <v>123</v>
      </c>
      <c r="B121" s="4" t="s">
        <v>5</v>
      </c>
      <c r="C121" s="4" t="s">
        <v>7</v>
      </c>
      <c r="D121" s="4">
        <v>0</v>
      </c>
      <c r="E121" s="4">
        <v>0</v>
      </c>
      <c r="F121" t="s">
        <v>15</v>
      </c>
      <c r="G121" s="4" t="s">
        <v>6</v>
      </c>
      <c r="H121" s="3">
        <v>231</v>
      </c>
      <c r="I121" s="4" t="s">
        <v>5</v>
      </c>
      <c r="J121" s="4" t="s">
        <v>6</v>
      </c>
      <c r="K121" s="4">
        <v>84.59</v>
      </c>
      <c r="L121" s="4">
        <v>88.94</v>
      </c>
    </row>
    <row r="122" spans="1:12" x14ac:dyDescent="0.2">
      <c r="A122" s="3">
        <v>123</v>
      </c>
      <c r="B122" s="4" t="s">
        <v>5</v>
      </c>
      <c r="C122" s="4" t="s">
        <v>8</v>
      </c>
      <c r="D122" s="4">
        <v>0.04</v>
      </c>
      <c r="E122" s="4">
        <v>0.19</v>
      </c>
      <c r="F122" t="s">
        <v>15</v>
      </c>
      <c r="G122" s="4" t="s">
        <v>6</v>
      </c>
      <c r="H122" s="3">
        <v>231</v>
      </c>
      <c r="I122" s="4" t="s">
        <v>5</v>
      </c>
      <c r="J122" s="4" t="s">
        <v>7</v>
      </c>
      <c r="K122" s="4">
        <v>0</v>
      </c>
      <c r="L122" s="4">
        <v>0</v>
      </c>
    </row>
    <row r="123" spans="1:12" x14ac:dyDescent="0.2">
      <c r="A123" s="3">
        <v>123</v>
      </c>
      <c r="B123" s="4" t="s">
        <v>5</v>
      </c>
      <c r="C123" s="4" t="s">
        <v>9</v>
      </c>
      <c r="D123" s="4">
        <v>0</v>
      </c>
      <c r="E123" s="4">
        <v>0</v>
      </c>
      <c r="F123" t="s">
        <v>15</v>
      </c>
      <c r="G123" s="4" t="s">
        <v>6</v>
      </c>
      <c r="H123" s="3">
        <v>231</v>
      </c>
      <c r="I123" s="4" t="s">
        <v>5</v>
      </c>
      <c r="J123" s="4" t="s">
        <v>8</v>
      </c>
      <c r="K123" s="4">
        <v>0.83</v>
      </c>
      <c r="L123" s="4">
        <v>0.64</v>
      </c>
    </row>
    <row r="124" spans="1:12" x14ac:dyDescent="0.2">
      <c r="A124" s="3">
        <v>123</v>
      </c>
      <c r="B124" s="4" t="s">
        <v>5</v>
      </c>
      <c r="C124" s="4" t="s">
        <v>10</v>
      </c>
      <c r="D124" s="4">
        <v>0</v>
      </c>
      <c r="E124" s="4">
        <v>0</v>
      </c>
      <c r="F124" t="s">
        <v>15</v>
      </c>
      <c r="G124" s="4" t="s">
        <v>6</v>
      </c>
      <c r="H124" s="3">
        <v>231</v>
      </c>
      <c r="I124" s="4" t="s">
        <v>5</v>
      </c>
      <c r="J124" s="4" t="s">
        <v>9</v>
      </c>
      <c r="K124" s="4">
        <v>0</v>
      </c>
      <c r="L124" s="4">
        <v>0</v>
      </c>
    </row>
    <row r="125" spans="1:12" x14ac:dyDescent="0.2">
      <c r="A125" s="3">
        <v>123</v>
      </c>
      <c r="B125" s="4" t="s">
        <v>5</v>
      </c>
      <c r="C125" s="4" t="s">
        <v>11</v>
      </c>
      <c r="D125" s="4">
        <v>0</v>
      </c>
      <c r="E125" s="4">
        <v>0</v>
      </c>
      <c r="F125" t="s">
        <v>15</v>
      </c>
      <c r="G125" s="4" t="s">
        <v>6</v>
      </c>
      <c r="H125" s="3">
        <v>231</v>
      </c>
      <c r="I125" s="4" t="s">
        <v>5</v>
      </c>
      <c r="J125" s="4" t="s">
        <v>10</v>
      </c>
      <c r="K125" s="4">
        <v>0</v>
      </c>
      <c r="L125" s="4">
        <v>0</v>
      </c>
    </row>
    <row r="126" spans="1:12" x14ac:dyDescent="0.2">
      <c r="A126" s="3">
        <v>123</v>
      </c>
      <c r="B126" s="4" t="s">
        <v>5</v>
      </c>
      <c r="C126" s="4" t="s">
        <v>12</v>
      </c>
      <c r="D126" s="4">
        <v>54.5</v>
      </c>
      <c r="E126" s="4">
        <v>38.380000000000003</v>
      </c>
      <c r="F126" t="s">
        <v>15</v>
      </c>
      <c r="G126" s="4" t="s">
        <v>6</v>
      </c>
      <c r="H126" s="3">
        <v>231</v>
      </c>
      <c r="I126" s="4" t="s">
        <v>5</v>
      </c>
      <c r="J126" s="4" t="s">
        <v>11</v>
      </c>
      <c r="K126" s="4">
        <v>0</v>
      </c>
      <c r="L126" s="4">
        <v>0</v>
      </c>
    </row>
    <row r="127" spans="1:12" x14ac:dyDescent="0.2">
      <c r="A127" s="3"/>
      <c r="B127" s="4"/>
      <c r="C127" s="4"/>
      <c r="D127" s="4"/>
      <c r="E127" s="4"/>
      <c r="G127" s="4"/>
      <c r="H127" s="3">
        <v>231</v>
      </c>
      <c r="I127" s="4" t="s">
        <v>5</v>
      </c>
      <c r="J127" s="4" t="s">
        <v>12</v>
      </c>
      <c r="K127" s="4">
        <v>14.58</v>
      </c>
      <c r="L127" s="4">
        <v>10.42</v>
      </c>
    </row>
    <row r="128" spans="1:12" x14ac:dyDescent="0.2">
      <c r="A128" s="3">
        <v>124</v>
      </c>
      <c r="B128" s="4" t="s">
        <v>5</v>
      </c>
      <c r="C128" s="4" t="s">
        <v>6</v>
      </c>
      <c r="D128" s="4">
        <v>30.88</v>
      </c>
      <c r="E128" s="4">
        <v>46.52</v>
      </c>
      <c r="F128" t="s">
        <v>15</v>
      </c>
      <c r="G128" s="4" t="s">
        <v>27</v>
      </c>
      <c r="H128" s="5" t="s">
        <v>34</v>
      </c>
    </row>
    <row r="129" spans="1:12" x14ac:dyDescent="0.2">
      <c r="A129" s="3">
        <v>124</v>
      </c>
      <c r="B129" s="4" t="s">
        <v>5</v>
      </c>
      <c r="C129" s="4" t="s">
        <v>7</v>
      </c>
      <c r="D129" s="4">
        <v>0</v>
      </c>
      <c r="E129" s="4">
        <v>0</v>
      </c>
      <c r="F129" t="s">
        <v>15</v>
      </c>
      <c r="G129" s="4" t="s">
        <v>27</v>
      </c>
      <c r="H129" s="5"/>
    </row>
    <row r="130" spans="1:12" x14ac:dyDescent="0.2">
      <c r="A130" s="3">
        <v>124</v>
      </c>
      <c r="B130" s="4" t="s">
        <v>5</v>
      </c>
      <c r="C130" s="4" t="s">
        <v>8</v>
      </c>
      <c r="D130" s="4">
        <v>20.23</v>
      </c>
      <c r="E130" s="4">
        <v>15.83</v>
      </c>
      <c r="F130" t="s">
        <v>15</v>
      </c>
      <c r="G130" s="4" t="s">
        <v>27</v>
      </c>
      <c r="H130" s="5"/>
    </row>
    <row r="131" spans="1:12" x14ac:dyDescent="0.2">
      <c r="A131" s="3">
        <v>124</v>
      </c>
      <c r="B131" s="4" t="s">
        <v>5</v>
      </c>
      <c r="C131" s="4" t="s">
        <v>9</v>
      </c>
      <c r="D131" s="4">
        <v>0</v>
      </c>
      <c r="E131" s="4">
        <v>0</v>
      </c>
      <c r="F131" t="s">
        <v>15</v>
      </c>
      <c r="G131" s="4" t="s">
        <v>27</v>
      </c>
      <c r="H131" s="5"/>
    </row>
    <row r="132" spans="1:12" x14ac:dyDescent="0.2">
      <c r="A132" s="3">
        <v>124</v>
      </c>
      <c r="B132" s="4" t="s">
        <v>5</v>
      </c>
      <c r="C132" s="4" t="s">
        <v>10</v>
      </c>
      <c r="D132" s="4">
        <v>0.05</v>
      </c>
      <c r="E132" s="4">
        <v>0.11</v>
      </c>
      <c r="F132" t="s">
        <v>15</v>
      </c>
      <c r="G132" s="4" t="s">
        <v>27</v>
      </c>
      <c r="H132" s="5"/>
    </row>
    <row r="133" spans="1:12" x14ac:dyDescent="0.2">
      <c r="A133" s="3">
        <v>124</v>
      </c>
      <c r="B133" s="4" t="s">
        <v>5</v>
      </c>
      <c r="C133" s="4" t="s">
        <v>11</v>
      </c>
      <c r="D133" s="4">
        <v>0</v>
      </c>
      <c r="E133" s="4">
        <v>0</v>
      </c>
      <c r="F133" t="s">
        <v>15</v>
      </c>
      <c r="G133" s="4" t="s">
        <v>27</v>
      </c>
      <c r="H133" s="5"/>
    </row>
    <row r="134" spans="1:12" x14ac:dyDescent="0.2">
      <c r="A134" s="3">
        <v>124</v>
      </c>
      <c r="B134" s="4" t="s">
        <v>5</v>
      </c>
      <c r="C134" s="4" t="s">
        <v>12</v>
      </c>
      <c r="D134" s="4">
        <v>48.85</v>
      </c>
      <c r="E134" s="4">
        <v>37.54</v>
      </c>
      <c r="F134" t="s">
        <v>15</v>
      </c>
      <c r="G134" s="4" t="s">
        <v>27</v>
      </c>
      <c r="H134" s="5"/>
    </row>
    <row r="135" spans="1:12" x14ac:dyDescent="0.2">
      <c r="A135" s="3">
        <v>305</v>
      </c>
      <c r="B135" s="4" t="s">
        <v>5</v>
      </c>
      <c r="C135" s="4" t="s">
        <v>6</v>
      </c>
      <c r="D135" s="4">
        <v>6.53</v>
      </c>
      <c r="E135" s="4">
        <v>2.1</v>
      </c>
      <c r="F135" t="s">
        <v>16</v>
      </c>
      <c r="G135" s="4" t="s">
        <v>23</v>
      </c>
      <c r="H135" s="3">
        <v>413</v>
      </c>
      <c r="I135" s="4" t="s">
        <v>5</v>
      </c>
      <c r="J135" s="4" t="s">
        <v>6</v>
      </c>
      <c r="K135" s="4">
        <v>4.12</v>
      </c>
      <c r="L135" s="4">
        <v>6.75</v>
      </c>
    </row>
    <row r="136" spans="1:12" x14ac:dyDescent="0.2">
      <c r="A136" s="3">
        <v>305</v>
      </c>
      <c r="B136" s="4" t="s">
        <v>5</v>
      </c>
      <c r="C136" s="4" t="s">
        <v>7</v>
      </c>
      <c r="D136" s="4">
        <v>0</v>
      </c>
      <c r="E136" s="4">
        <v>0</v>
      </c>
      <c r="F136" t="s">
        <v>16</v>
      </c>
      <c r="G136" s="4" t="s">
        <v>23</v>
      </c>
      <c r="H136" s="3">
        <v>413</v>
      </c>
      <c r="I136" s="4" t="s">
        <v>5</v>
      </c>
      <c r="J136" s="4" t="s">
        <v>7</v>
      </c>
      <c r="K136" s="4">
        <v>0</v>
      </c>
      <c r="L136" s="4">
        <v>0.55000000000000004</v>
      </c>
    </row>
    <row r="137" spans="1:12" x14ac:dyDescent="0.2">
      <c r="A137" s="3">
        <v>305</v>
      </c>
      <c r="B137" s="4" t="s">
        <v>5</v>
      </c>
      <c r="C137" s="4" t="s">
        <v>8</v>
      </c>
      <c r="D137" s="4">
        <v>0</v>
      </c>
      <c r="E137" s="4">
        <v>0</v>
      </c>
      <c r="F137" t="s">
        <v>16</v>
      </c>
      <c r="G137" s="4" t="s">
        <v>23</v>
      </c>
      <c r="H137" s="3">
        <v>413</v>
      </c>
      <c r="I137" s="4" t="s">
        <v>5</v>
      </c>
      <c r="J137" s="4" t="s">
        <v>8</v>
      </c>
      <c r="K137" s="4">
        <v>25.45</v>
      </c>
      <c r="L137" s="4">
        <v>35.25</v>
      </c>
    </row>
    <row r="138" spans="1:12" x14ac:dyDescent="0.2">
      <c r="A138" s="3">
        <v>305</v>
      </c>
      <c r="B138" s="4" t="s">
        <v>5</v>
      </c>
      <c r="C138" s="4" t="s">
        <v>9</v>
      </c>
      <c r="D138" s="4">
        <v>10.97</v>
      </c>
      <c r="E138" s="4">
        <v>7.0000000000000007E-2</v>
      </c>
      <c r="F138" t="s">
        <v>16</v>
      </c>
      <c r="G138" s="4" t="s">
        <v>23</v>
      </c>
      <c r="H138" s="3">
        <v>413</v>
      </c>
      <c r="I138" s="4" t="s">
        <v>5</v>
      </c>
      <c r="J138" s="4" t="s">
        <v>9</v>
      </c>
      <c r="K138" s="4">
        <v>0</v>
      </c>
      <c r="L138" s="4">
        <v>0</v>
      </c>
    </row>
    <row r="139" spans="1:12" x14ac:dyDescent="0.2">
      <c r="A139" s="3">
        <v>305</v>
      </c>
      <c r="B139" s="4" t="s">
        <v>5</v>
      </c>
      <c r="C139" s="4" t="s">
        <v>10</v>
      </c>
      <c r="D139" s="4">
        <v>0</v>
      </c>
      <c r="E139" s="4">
        <v>0</v>
      </c>
      <c r="F139" t="s">
        <v>16</v>
      </c>
      <c r="G139" s="4" t="s">
        <v>23</v>
      </c>
      <c r="H139" s="3">
        <v>413</v>
      </c>
      <c r="I139" s="4" t="s">
        <v>5</v>
      </c>
      <c r="J139" s="4" t="s">
        <v>10</v>
      </c>
      <c r="K139" s="4">
        <v>0</v>
      </c>
      <c r="L139" s="4">
        <v>0</v>
      </c>
    </row>
    <row r="140" spans="1:12" x14ac:dyDescent="0.2">
      <c r="A140" s="3">
        <v>305</v>
      </c>
      <c r="B140" s="4" t="s">
        <v>5</v>
      </c>
      <c r="C140" s="4" t="s">
        <v>11</v>
      </c>
      <c r="D140" s="4">
        <v>0</v>
      </c>
      <c r="E140" s="4">
        <v>0</v>
      </c>
      <c r="F140" t="s">
        <v>16</v>
      </c>
      <c r="G140" s="4" t="s">
        <v>23</v>
      </c>
      <c r="H140" s="3">
        <v>413</v>
      </c>
      <c r="I140" s="4" t="s">
        <v>5</v>
      </c>
      <c r="J140" s="4" t="s">
        <v>11</v>
      </c>
      <c r="K140" s="4">
        <v>0</v>
      </c>
      <c r="L140" s="4">
        <v>0</v>
      </c>
    </row>
    <row r="141" spans="1:12" x14ac:dyDescent="0.2">
      <c r="A141" s="3">
        <v>305</v>
      </c>
      <c r="B141" s="4" t="s">
        <v>5</v>
      </c>
      <c r="C141" s="4" t="s">
        <v>12</v>
      </c>
      <c r="D141" s="4">
        <v>82.5</v>
      </c>
      <c r="E141" s="4">
        <v>97.83</v>
      </c>
      <c r="F141" t="s">
        <v>16</v>
      </c>
      <c r="G141" s="4" t="s">
        <v>23</v>
      </c>
      <c r="H141" s="3">
        <v>413</v>
      </c>
      <c r="I141" s="4" t="s">
        <v>5</v>
      </c>
      <c r="J141" s="4" t="s">
        <v>12</v>
      </c>
      <c r="K141" s="4">
        <v>70.430000000000007</v>
      </c>
      <c r="L141" s="4">
        <v>57.45</v>
      </c>
    </row>
    <row r="142" spans="1:12" s="8" customFormat="1" x14ac:dyDescent="0.2">
      <c r="A142" s="6">
        <v>126</v>
      </c>
      <c r="B142" s="7" t="s">
        <v>5</v>
      </c>
      <c r="C142" s="7" t="s">
        <v>6</v>
      </c>
      <c r="D142" s="7">
        <v>47.36</v>
      </c>
      <c r="E142" s="7">
        <v>61.66</v>
      </c>
      <c r="F142" s="8" t="s">
        <v>15</v>
      </c>
      <c r="G142" s="7" t="s">
        <v>10</v>
      </c>
      <c r="H142" s="6">
        <v>234</v>
      </c>
      <c r="I142" s="7" t="s">
        <v>5</v>
      </c>
      <c r="J142" s="7" t="s">
        <v>6</v>
      </c>
      <c r="K142" s="7">
        <v>86.75</v>
      </c>
      <c r="L142" s="7">
        <v>92.09</v>
      </c>
    </row>
    <row r="143" spans="1:12" s="8" customFormat="1" x14ac:dyDescent="0.2">
      <c r="A143" s="6">
        <v>126</v>
      </c>
      <c r="B143" s="7" t="s">
        <v>5</v>
      </c>
      <c r="C143" s="7" t="s">
        <v>7</v>
      </c>
      <c r="D143" s="7">
        <v>0</v>
      </c>
      <c r="E143" s="7">
        <v>0.03</v>
      </c>
      <c r="F143" s="8" t="s">
        <v>15</v>
      </c>
      <c r="G143" s="7" t="s">
        <v>10</v>
      </c>
      <c r="H143" s="6">
        <v>234</v>
      </c>
      <c r="I143" s="7" t="s">
        <v>5</v>
      </c>
      <c r="J143" s="7" t="s">
        <v>7</v>
      </c>
      <c r="K143" s="7">
        <v>0</v>
      </c>
      <c r="L143" s="7">
        <v>0</v>
      </c>
    </row>
    <row r="144" spans="1:12" s="8" customFormat="1" x14ac:dyDescent="0.2">
      <c r="A144" s="6">
        <v>126</v>
      </c>
      <c r="B144" s="7" t="s">
        <v>5</v>
      </c>
      <c r="C144" s="7" t="s">
        <v>8</v>
      </c>
      <c r="D144" s="7">
        <v>0.03</v>
      </c>
      <c r="E144" s="7">
        <v>0</v>
      </c>
      <c r="F144" s="8" t="s">
        <v>15</v>
      </c>
      <c r="G144" s="7" t="s">
        <v>10</v>
      </c>
      <c r="H144" s="6">
        <v>234</v>
      </c>
      <c r="I144" s="7" t="s">
        <v>5</v>
      </c>
      <c r="J144" s="7" t="s">
        <v>8</v>
      </c>
      <c r="K144" s="7">
        <v>0</v>
      </c>
      <c r="L144" s="7">
        <v>0</v>
      </c>
    </row>
    <row r="145" spans="1:12" s="8" customFormat="1" x14ac:dyDescent="0.2">
      <c r="A145" s="6">
        <v>126</v>
      </c>
      <c r="B145" s="7" t="s">
        <v>5</v>
      </c>
      <c r="C145" s="7" t="s">
        <v>9</v>
      </c>
      <c r="D145" s="7">
        <v>0</v>
      </c>
      <c r="E145" s="7">
        <v>0</v>
      </c>
      <c r="F145" s="8" t="s">
        <v>15</v>
      </c>
      <c r="G145" s="7" t="s">
        <v>10</v>
      </c>
      <c r="H145" s="6">
        <v>234</v>
      </c>
      <c r="I145" s="7" t="s">
        <v>5</v>
      </c>
      <c r="J145" s="7" t="s">
        <v>9</v>
      </c>
      <c r="K145" s="7">
        <v>0</v>
      </c>
      <c r="L145" s="7">
        <v>0</v>
      </c>
    </row>
    <row r="146" spans="1:12" s="8" customFormat="1" x14ac:dyDescent="0.2">
      <c r="A146" s="6">
        <v>126</v>
      </c>
      <c r="B146" s="7" t="s">
        <v>5</v>
      </c>
      <c r="C146" s="7" t="s">
        <v>10</v>
      </c>
      <c r="D146" s="7">
        <v>0.05</v>
      </c>
      <c r="E146" s="7">
        <v>0.11</v>
      </c>
      <c r="F146" s="8" t="s">
        <v>15</v>
      </c>
      <c r="G146" s="7" t="s">
        <v>10</v>
      </c>
      <c r="H146" s="6">
        <v>234</v>
      </c>
      <c r="I146" s="7" t="s">
        <v>5</v>
      </c>
      <c r="J146" s="7" t="s">
        <v>10</v>
      </c>
      <c r="K146" s="7">
        <v>0.04</v>
      </c>
      <c r="L146" s="7">
        <v>0.17</v>
      </c>
    </row>
    <row r="147" spans="1:12" s="8" customFormat="1" x14ac:dyDescent="0.2">
      <c r="A147" s="6">
        <v>126</v>
      </c>
      <c r="B147" s="7" t="s">
        <v>5</v>
      </c>
      <c r="C147" s="7" t="s">
        <v>11</v>
      </c>
      <c r="D147" s="7">
        <v>0</v>
      </c>
      <c r="E147" s="7">
        <v>0</v>
      </c>
      <c r="F147" s="8" t="s">
        <v>15</v>
      </c>
      <c r="G147" s="7" t="s">
        <v>10</v>
      </c>
      <c r="H147" s="6">
        <v>234</v>
      </c>
      <c r="I147" s="7" t="s">
        <v>5</v>
      </c>
      <c r="J147" s="7" t="s">
        <v>11</v>
      </c>
      <c r="K147" s="7">
        <v>0</v>
      </c>
      <c r="L147" s="7">
        <v>0</v>
      </c>
    </row>
    <row r="148" spans="1:12" s="8" customFormat="1" x14ac:dyDescent="0.2">
      <c r="A148" s="6">
        <v>126</v>
      </c>
      <c r="B148" s="7" t="s">
        <v>5</v>
      </c>
      <c r="C148" s="7" t="s">
        <v>12</v>
      </c>
      <c r="D148" s="7">
        <v>52.56</v>
      </c>
      <c r="E148" s="7">
        <v>38.200000000000003</v>
      </c>
      <c r="F148" s="8" t="s">
        <v>15</v>
      </c>
      <c r="G148" s="7" t="s">
        <v>10</v>
      </c>
      <c r="H148" s="6">
        <v>234</v>
      </c>
      <c r="I148" s="7" t="s">
        <v>5</v>
      </c>
      <c r="J148" s="7" t="s">
        <v>12</v>
      </c>
      <c r="K148" s="7">
        <v>13.21</v>
      </c>
      <c r="L148" s="7">
        <v>7.74</v>
      </c>
    </row>
  </sheetData>
  <mergeCells count="5">
    <mergeCell ref="H30:H36"/>
    <mergeCell ref="H51:H57"/>
    <mergeCell ref="H58:H64"/>
    <mergeCell ref="H93:H99"/>
    <mergeCell ref="H128:H1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Haotian</dc:creator>
  <cp:lastModifiedBy>Zhang, Haotian</cp:lastModifiedBy>
  <dcterms:created xsi:type="dcterms:W3CDTF">2024-11-05T17:15:21Z</dcterms:created>
  <dcterms:modified xsi:type="dcterms:W3CDTF">2024-12-23T17:30:51Z</dcterms:modified>
</cp:coreProperties>
</file>